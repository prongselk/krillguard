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aturalhistorymuseum-my.sharepoint.com/personal/alexandra_markitantova1_nhm_ac_uk/Documents/Documents/public_repo/"/>
    </mc:Choice>
  </mc:AlternateContent>
  <xr:revisionPtr revIDLastSave="0" documentId="8_{20978DCB-85D2-4CB7-9C09-FAFB8E703FD6}" xr6:coauthVersionLast="47" xr6:coauthVersionMax="47" xr10:uidLastSave="{00000000-0000-0000-0000-000000000000}"/>
  <bookViews>
    <workbookView xWindow="-110" yWindow="-110" windowWidth="19420" windowHeight="10300" activeTab="1" xr2:uid="{5EB42586-5668-47F7-8AF9-BBC4A9C77F10}"/>
  </bookViews>
  <sheets>
    <sheet name="README" sheetId="3" r:id="rId1"/>
    <sheet name="158" sheetId="8" r:id="rId2"/>
    <sheet name="157" sheetId="7" r:id="rId3"/>
    <sheet name="156" sheetId="6" r:id="rId4"/>
    <sheet name="155" sheetId="5" r:id="rId5"/>
    <sheet name="154" sheetId="2" r:id="rId6"/>
    <sheet name="153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8" l="1"/>
  <c r="B74" i="8"/>
  <c r="D8" i="3" s="1"/>
  <c r="E9" i="7"/>
  <c r="E20" i="7"/>
  <c r="E30" i="7"/>
  <c r="E71" i="7"/>
  <c r="E60" i="7"/>
  <c r="E54" i="7"/>
  <c r="E48" i="7"/>
  <c r="B72" i="7"/>
  <c r="E40" i="7"/>
  <c r="E9" i="6"/>
  <c r="E16" i="6"/>
  <c r="E64" i="6" l="1"/>
  <c r="E58" i="6"/>
  <c r="E51" i="6"/>
  <c r="B115" i="1"/>
  <c r="B65" i="6"/>
  <c r="B62" i="5"/>
  <c r="B99" i="2"/>
  <c r="E114" i="1"/>
  <c r="E104" i="1"/>
  <c r="E99" i="1"/>
  <c r="E46" i="1"/>
  <c r="E82" i="1"/>
  <c r="E63" i="1"/>
  <c r="E42" i="6"/>
  <c r="E32" i="6" l="1"/>
  <c r="E27" i="6"/>
  <c r="E47" i="5" l="1"/>
  <c r="E5" i="5"/>
  <c r="E9" i="5"/>
  <c r="E14" i="5"/>
  <c r="G57" i="5"/>
  <c r="E61" i="5"/>
  <c r="G94" i="2"/>
  <c r="E98" i="2"/>
  <c r="E54" i="5"/>
  <c r="E19" i="5"/>
  <c r="E23" i="5" l="1"/>
  <c r="E29" i="5"/>
  <c r="G40" i="5"/>
  <c r="E38" i="5"/>
  <c r="G78" i="2"/>
  <c r="E80" i="2"/>
  <c r="G85" i="2"/>
  <c r="G21" i="1"/>
  <c r="E28" i="1"/>
  <c r="G66" i="2"/>
  <c r="E70" i="2"/>
  <c r="E7" i="2"/>
  <c r="G9" i="1"/>
  <c r="E14" i="1"/>
  <c r="E13" i="2"/>
  <c r="G10" i="2"/>
  <c r="E90" i="1"/>
  <c r="G86" i="1"/>
  <c r="E53" i="1"/>
  <c r="G50" i="1"/>
  <c r="G16" i="2"/>
  <c r="E17" i="2"/>
  <c r="G20" i="2"/>
  <c r="E23" i="2"/>
  <c r="E29" i="2"/>
  <c r="E59" i="2" l="1"/>
  <c r="G50" i="2"/>
  <c r="G47" i="2"/>
  <c r="E46" i="2"/>
  <c r="E37" i="2"/>
  <c r="G33" i="2"/>
  <c r="E9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tc={E124B33E-69F4-4743-85FF-3EF44174766C}</author>
  </authors>
  <commentList>
    <comment ref="A29" authorId="0" shapeId="0" xr:uid="{E124B33E-69F4-4743-85FF-3EF44174766C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logged in</t>
      </text>
    </comment>
  </commentList>
</comments>
</file>

<file path=xl/sharedStrings.xml><?xml version="1.0" encoding="utf-8"?>
<sst xmlns="http://schemas.openxmlformats.org/spreadsheetml/2006/main" count="777" uniqueCount="157">
  <si>
    <t>shelf</t>
  </si>
  <si>
    <t>num_jars</t>
  </si>
  <si>
    <t>station_numbers</t>
  </si>
  <si>
    <t>odd_jars</t>
  </si>
  <si>
    <t>jar_types</t>
  </si>
  <si>
    <t>not_added</t>
  </si>
  <si>
    <t>6XXX</t>
  </si>
  <si>
    <t>7XXX</t>
  </si>
  <si>
    <t>8XXX</t>
  </si>
  <si>
    <t>9XXX</t>
  </si>
  <si>
    <t>10XXX</t>
  </si>
  <si>
    <t>11XXX</t>
  </si>
  <si>
    <t>total</t>
  </si>
  <si>
    <t>old metal lid medium</t>
  </si>
  <si>
    <t>no label + formalin</t>
  </si>
  <si>
    <t>no station + engine filters</t>
  </si>
  <si>
    <t>engine filters with station</t>
  </si>
  <si>
    <t>XX</t>
  </si>
  <si>
    <t>XXX</t>
  </si>
  <si>
    <t>1XXX</t>
  </si>
  <si>
    <t>12XXX</t>
  </si>
  <si>
    <t>W.S.</t>
  </si>
  <si>
    <t>formalin with station</t>
  </si>
  <si>
    <t>Jetty K Edwards</t>
  </si>
  <si>
    <t>old metal lid big</t>
  </si>
  <si>
    <t>new red lid big</t>
  </si>
  <si>
    <t>total no station</t>
  </si>
  <si>
    <t xml:space="preserve">total </t>
  </si>
  <si>
    <t>50XXX</t>
  </si>
  <si>
    <t>METEOR95</t>
  </si>
  <si>
    <t>white rubber lid small</t>
  </si>
  <si>
    <t>4XXX</t>
  </si>
  <si>
    <t>5XXX</t>
  </si>
  <si>
    <t>Nyctiphanes specimens</t>
  </si>
  <si>
    <t>Pacific Euphausiids Len Fisher's collection</t>
  </si>
  <si>
    <t>Euphausia brevis larvae</t>
  </si>
  <si>
    <t>2XXX</t>
  </si>
  <si>
    <t>3XXX</t>
  </si>
  <si>
    <t>Heterophryxus parasites + formalin</t>
  </si>
  <si>
    <t>METEOR91</t>
  </si>
  <si>
    <t xml:space="preserve">total no station </t>
  </si>
  <si>
    <t>METEOR67#4</t>
  </si>
  <si>
    <t>METEOR33#1</t>
  </si>
  <si>
    <t>METEOR84#5</t>
  </si>
  <si>
    <t>METEOR90</t>
  </si>
  <si>
    <t>Number of physical jars on shelf (big jars, not small jars within other jars)</t>
  </si>
  <si>
    <t>Out of num_jars, how many jars are not logged into the database (usually jars without any labels)</t>
  </si>
  <si>
    <t>Ranges of station numbers present on shelf with number of jars in each range (W.S. stations are counted together with Discovery)</t>
  </si>
  <si>
    <t>List of jars that either have no station number or are odd in another way (e.g. contain formalin), with number of jars in each category</t>
  </si>
  <si>
    <t>Lid type and size of jars on shelf with number of each type</t>
  </si>
  <si>
    <t>Note: total of station_numbers + total no station should be equal to num_jars</t>
  </si>
  <si>
    <t>Note 2: I have additional info about most shelves written in paper journal</t>
  </si>
  <si>
    <t>column</t>
  </si>
  <si>
    <t>explanation</t>
  </si>
  <si>
    <t>larvae</t>
  </si>
  <si>
    <t>PETREL1</t>
  </si>
  <si>
    <t>from jar 13/14</t>
  </si>
  <si>
    <t>CPR73</t>
  </si>
  <si>
    <t>X</t>
  </si>
  <si>
    <t>no label</t>
  </si>
  <si>
    <t>old metal lid small</t>
  </si>
  <si>
    <t>Baker eggs</t>
  </si>
  <si>
    <t>formalin</t>
  </si>
  <si>
    <t>engine filters</t>
  </si>
  <si>
    <t>misc.</t>
  </si>
  <si>
    <t>plankton sample</t>
  </si>
  <si>
    <t>not mysids</t>
  </si>
  <si>
    <t>other families</t>
  </si>
  <si>
    <t>WH</t>
  </si>
  <si>
    <t xml:space="preserve">no label </t>
  </si>
  <si>
    <t>egg cases</t>
  </si>
  <si>
    <t xml:space="preserve">limbs </t>
  </si>
  <si>
    <t>Baker</t>
  </si>
  <si>
    <t>Bay of Whales</t>
  </si>
  <si>
    <t>eggs</t>
  </si>
  <si>
    <t>new clear lid big</t>
  </si>
  <si>
    <t>other orders</t>
  </si>
  <si>
    <t xml:space="preserve">white rubber lid small </t>
  </si>
  <si>
    <t>METEOR67#5</t>
  </si>
  <si>
    <t>W.S. no station</t>
  </si>
  <si>
    <t xml:space="preserve"> </t>
  </si>
  <si>
    <t>METEOR56#1</t>
  </si>
  <si>
    <t>RSXX</t>
  </si>
  <si>
    <t>SSX</t>
  </si>
  <si>
    <t>E. frigida with parasites</t>
  </si>
  <si>
    <t>Gunther's materials (formalin)</t>
  </si>
  <si>
    <t xml:space="preserve">Nyctiophanes </t>
  </si>
  <si>
    <t>SSXX</t>
  </si>
  <si>
    <t>Pinger</t>
  </si>
  <si>
    <t>decapoda larvae</t>
  </si>
  <si>
    <t>spawned 1979</t>
  </si>
  <si>
    <t>E. superba F NH</t>
  </si>
  <si>
    <t>E. superba Jetty K.Edwards Point</t>
  </si>
  <si>
    <t xml:space="preserve">W.S. </t>
  </si>
  <si>
    <t>old metal star lid medium</t>
  </si>
  <si>
    <t>display handle medium</t>
  </si>
  <si>
    <t>Euphausian larvae</t>
  </si>
  <si>
    <t>Siphonophores with station (555)</t>
  </si>
  <si>
    <t>San Carlos baleen stomach contents</t>
  </si>
  <si>
    <t>white rubber lid medium</t>
  </si>
  <si>
    <t>METEOR84#6</t>
  </si>
  <si>
    <t>WHXXX</t>
  </si>
  <si>
    <t>white rubber lid large</t>
  </si>
  <si>
    <t xml:space="preserve">Miscellaneous </t>
  </si>
  <si>
    <t>METEOR67</t>
  </si>
  <si>
    <t>glass hydria shaped</t>
  </si>
  <si>
    <t>old metal lid large</t>
  </si>
  <si>
    <t>METEOR84#3</t>
  </si>
  <si>
    <t>no station + engine filter</t>
  </si>
  <si>
    <t>engine filters + no station</t>
  </si>
  <si>
    <t>copulatory organs etc.</t>
  </si>
  <si>
    <t>live euphausiid material</t>
  </si>
  <si>
    <t>euphausiid material</t>
  </si>
  <si>
    <t>euphausiid collection</t>
  </si>
  <si>
    <t>euphausiids autumn 1966</t>
  </si>
  <si>
    <t>fish stomach contents with station</t>
  </si>
  <si>
    <t>faeces</t>
  </si>
  <si>
    <t>stomach contents</t>
  </si>
  <si>
    <t>cyrtopia 3</t>
  </si>
  <si>
    <t>cyrtopia 5</t>
  </si>
  <si>
    <t xml:space="preserve"> 'kril' found at government Jetty</t>
  </si>
  <si>
    <t>moults</t>
  </si>
  <si>
    <t>new red lid large</t>
  </si>
  <si>
    <t>52XXX</t>
  </si>
  <si>
    <t>display handle large</t>
  </si>
  <si>
    <t>miscellaneous moults + formalin</t>
  </si>
  <si>
    <t>RS11</t>
  </si>
  <si>
    <t>miscellaneous euphausiids</t>
  </si>
  <si>
    <t xml:space="preserve">WS </t>
  </si>
  <si>
    <t xml:space="preserve">total  </t>
  </si>
  <si>
    <t>display handle extra large</t>
  </si>
  <si>
    <t>old glass with wire across</t>
  </si>
  <si>
    <t>jar with clam extra large</t>
  </si>
  <si>
    <t>rubber lid exra large</t>
  </si>
  <si>
    <t>M. norvegica</t>
  </si>
  <si>
    <t>Gunther</t>
  </si>
  <si>
    <t>?</t>
  </si>
  <si>
    <t xml:space="preserve">XX </t>
  </si>
  <si>
    <t>SMRU</t>
  </si>
  <si>
    <t>1800-12</t>
  </si>
  <si>
    <t xml:space="preserve">old metal lid small </t>
  </si>
  <si>
    <t>engine filter + no station</t>
  </si>
  <si>
    <t>misc. euphausiids</t>
  </si>
  <si>
    <t>Euphs Mysids Decapods</t>
  </si>
  <si>
    <t>Brown's collection</t>
  </si>
  <si>
    <t xml:space="preserve">old metal lid medium </t>
  </si>
  <si>
    <t>WS</t>
  </si>
  <si>
    <t>old metal lid exra large</t>
  </si>
  <si>
    <t>old metal lid extra large</t>
  </si>
  <si>
    <t>SS</t>
  </si>
  <si>
    <t>candy jar</t>
  </si>
  <si>
    <t>METEOR84#1</t>
  </si>
  <si>
    <t>MSXX</t>
  </si>
  <si>
    <t>20.02.1979</t>
  </si>
  <si>
    <t>total # of jars so far</t>
  </si>
  <si>
    <t>Grytviken 31.12.1931</t>
  </si>
  <si>
    <t>old metal jar 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</si>
</sst>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DCCA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/>
    <xf numFmtId="0" fontId="0" fillId="0" borderId="7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7" xfId="0" applyFont="1" applyBorder="1"/>
    <xf numFmtId="0" fontId="1" fillId="0" borderId="1" xfId="0" applyFont="1" applyBorder="1"/>
    <xf numFmtId="0" fontId="1" fillId="0" borderId="6" xfId="0" applyFont="1" applyBorder="1"/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0" borderId="11" xfId="0" applyBorder="1"/>
    <xf numFmtId="0" fontId="0" fillId="0" borderId="12" xfId="0" applyBorder="1"/>
    <xf numFmtId="0" fontId="0" fillId="0" borderId="6" xfId="0" applyBorder="1" applyAlignment="1">
      <alignment horizontal="left"/>
    </xf>
    <xf numFmtId="0" fontId="0" fillId="0" borderId="0" xfId="0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 applyAlignment="1">
      <alignment horizontal="center"/>
    </xf>
    <xf numFmtId="0" fontId="1" fillId="0" borderId="7" xfId="0" applyFont="1" applyBorder="1" applyAlignment="1">
      <alignment horizontal="center" vertical="top"/>
    </xf>
    <xf numFmtId="0" fontId="0" fillId="0" borderId="0" xfId="0" quotePrefix="1" applyAlignment="1">
      <alignment vertical="top" wrapText="1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4" xfId="0" applyBorder="1"/>
    <xf numFmtId="0" fontId="1" fillId="0" borderId="4" xfId="0" applyFont="1" applyBorder="1"/>
    <xf numFmtId="0" fontId="0" fillId="0" borderId="5" xfId="0" applyBorder="1"/>
    <xf numFmtId="0" fontId="0" fillId="0" borderId="9" xfId="0" applyBorder="1"/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1" fillId="0" borderId="4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6" xfId="0" applyBorder="1" applyAlignment="1">
      <alignment horizontal="center" vertical="top"/>
    </xf>
    <xf numFmtId="0" fontId="0" fillId="0" borderId="4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6" xfId="0" applyFont="1" applyBorder="1" applyAlignment="1">
      <alignment horizontal="center"/>
    </xf>
    <xf numFmtId="0" fontId="0" fillId="0" borderId="11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4" borderId="13" xfId="0" applyFont="1" applyFill="1" applyBorder="1"/>
    <xf numFmtId="0" fontId="1" fillId="4" borderId="14" xfId="0" applyFont="1" applyFill="1" applyBorder="1"/>
    <xf numFmtId="0" fontId="0" fillId="0" borderId="0" xfId="0" applyFont="1" applyAlignment="1">
      <alignment horizontal="left"/>
    </xf>
    <xf numFmtId="0" fontId="0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D8D6"/>
      <color rgb="FFF6DC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exandra Markitantova" id="{25741E63-571B-4BB8-B628-DF6635CCA97D}" userId="S::alexandra.markitantova1@nhm.ac.uk::e68e2734-b5ba-42fb-89a4-e55d62f57d8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9" dT="2025-02-20T16:15:32.53" personId="{25741E63-571B-4BB8-B628-DF6635CCA97D}" id="{E124B33E-69F4-4743-85FF-3EF44174766C}">
    <text>to be logged in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3C38-5AED-400D-A6C0-90FCC1091FC3}">
  <dimension ref="A2:D11"/>
  <sheetViews>
    <sheetView topLeftCell="A4" workbookViewId="0">
      <selection activeCell="D11" sqref="D11"/>
    </sheetView>
  </sheetViews>
  <sheetFormatPr defaultRowHeight="14.5" x14ac:dyDescent="0.35"/>
  <cols>
    <col min="1" max="1" width="15.7265625" customWidth="1"/>
    <col min="2" max="2" width="31.54296875" style="23" customWidth="1"/>
    <col min="3" max="3" width="16.90625" customWidth="1"/>
    <col min="4" max="4" width="5.54296875" customWidth="1"/>
  </cols>
  <sheetData>
    <row r="2" spans="1:4" x14ac:dyDescent="0.35">
      <c r="A2" s="24" t="s">
        <v>52</v>
      </c>
      <c r="B2" s="25" t="s">
        <v>53</v>
      </c>
    </row>
    <row r="3" spans="1:4" ht="34" customHeight="1" x14ac:dyDescent="0.35">
      <c r="A3" s="24" t="s">
        <v>1</v>
      </c>
      <c r="B3" s="25" t="s">
        <v>45</v>
      </c>
    </row>
    <row r="4" spans="1:4" ht="41" customHeight="1" x14ac:dyDescent="0.35">
      <c r="A4" s="24" t="s">
        <v>5</v>
      </c>
      <c r="B4" s="25" t="s">
        <v>46</v>
      </c>
    </row>
    <row r="5" spans="1:4" ht="58" x14ac:dyDescent="0.35">
      <c r="A5" s="24" t="s">
        <v>2</v>
      </c>
      <c r="B5" s="25" t="s">
        <v>47</v>
      </c>
    </row>
    <row r="6" spans="1:4" ht="58" x14ac:dyDescent="0.35">
      <c r="A6" s="24" t="s">
        <v>3</v>
      </c>
      <c r="B6" s="25" t="s">
        <v>48</v>
      </c>
    </row>
    <row r="7" spans="1:4" ht="29.5" thickBot="1" x14ac:dyDescent="0.4">
      <c r="A7" s="24" t="s">
        <v>4</v>
      </c>
      <c r="B7" s="25" t="s">
        <v>49</v>
      </c>
    </row>
    <row r="8" spans="1:4" ht="15" thickBot="1" x14ac:dyDescent="0.4">
      <c r="C8" s="76" t="s">
        <v>154</v>
      </c>
      <c r="D8" s="77">
        <f>SUM('158'!B74, '157'!B72, '156'!B65, '155'!B62, '154'!B99, '153'!B115)</f>
        <v>2676</v>
      </c>
    </row>
    <row r="10" spans="1:4" ht="35.5" customHeight="1" x14ac:dyDescent="0.35">
      <c r="B10" s="6" t="s">
        <v>50</v>
      </c>
    </row>
    <row r="11" spans="1:4" ht="29" x14ac:dyDescent="0.35">
      <c r="B11" s="23" t="s">
        <v>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773AD-FC4E-4994-8152-ABE911A5727A}">
  <sheetPr>
    <pageSetUpPr fitToPage="1"/>
  </sheetPr>
  <dimension ref="A1:J74"/>
  <sheetViews>
    <sheetView tabSelected="1" topLeftCell="A64" zoomScale="70" zoomScaleNormal="70" zoomScalePageLayoutView="59" workbookViewId="0">
      <selection activeCell="I33" sqref="I33"/>
    </sheetView>
  </sheetViews>
  <sheetFormatPr defaultRowHeight="14.5" x14ac:dyDescent="0.35"/>
  <cols>
    <col min="1" max="1" width="5.54296875" customWidth="1"/>
    <col min="2" max="2" width="7.7265625" customWidth="1"/>
    <col min="4" max="4" width="8.1796875" style="12" customWidth="1"/>
    <col min="5" max="5" width="5.6328125" style="12" customWidth="1"/>
    <col min="6" max="6" width="35.1796875" customWidth="1"/>
    <col min="7" max="7" width="8.7265625" style="12"/>
    <col min="8" max="8" width="22.54296875" customWidth="1"/>
    <col min="9" max="9" width="3.453125" customWidth="1"/>
  </cols>
  <sheetData>
    <row r="1" spans="1:9" x14ac:dyDescent="0.35">
      <c r="A1" s="14" t="s">
        <v>0</v>
      </c>
      <c r="B1" s="14" t="s">
        <v>1</v>
      </c>
      <c r="C1" s="14" t="s">
        <v>5</v>
      </c>
      <c r="D1" s="63" t="s">
        <v>2</v>
      </c>
      <c r="E1" s="64"/>
      <c r="F1" s="63" t="s">
        <v>3</v>
      </c>
      <c r="G1" s="64"/>
      <c r="H1" s="63" t="s">
        <v>4</v>
      </c>
      <c r="I1" s="64"/>
    </row>
    <row r="2" spans="1:9" x14ac:dyDescent="0.35">
      <c r="A2" s="59">
        <v>1</v>
      </c>
      <c r="B2" s="59"/>
      <c r="C2" s="59"/>
      <c r="E2" s="34"/>
      <c r="F2" s="17"/>
      <c r="G2" s="34"/>
      <c r="I2" s="35"/>
    </row>
    <row r="3" spans="1:9" x14ac:dyDescent="0.35">
      <c r="A3" s="60"/>
      <c r="B3" s="60"/>
      <c r="C3" s="60"/>
      <c r="E3" s="35"/>
      <c r="F3" s="18"/>
      <c r="G3" s="36"/>
      <c r="H3" s="28"/>
      <c r="I3" s="35"/>
    </row>
    <row r="4" spans="1:9" x14ac:dyDescent="0.35">
      <c r="A4" s="60"/>
      <c r="B4" s="60"/>
      <c r="C4" s="60"/>
      <c r="E4" s="35"/>
      <c r="F4" s="18"/>
      <c r="G4" s="36"/>
      <c r="H4" s="31"/>
      <c r="I4" s="35"/>
    </row>
    <row r="5" spans="1:9" x14ac:dyDescent="0.35">
      <c r="A5" s="60"/>
      <c r="B5" s="60"/>
      <c r="C5" s="60"/>
      <c r="E5" s="35"/>
      <c r="F5" s="7"/>
      <c r="G5" s="36"/>
      <c r="H5" s="31"/>
      <c r="I5" s="35"/>
    </row>
    <row r="6" spans="1:9" x14ac:dyDescent="0.35">
      <c r="A6" s="60"/>
      <c r="B6" s="60"/>
      <c r="C6" s="60"/>
      <c r="E6" s="35"/>
      <c r="F6" s="17"/>
      <c r="G6" s="35"/>
      <c r="H6" s="31"/>
      <c r="I6" s="35"/>
    </row>
    <row r="7" spans="1:9" x14ac:dyDescent="0.35">
      <c r="A7" s="60"/>
      <c r="B7" s="60"/>
      <c r="C7" s="60"/>
      <c r="E7" s="35"/>
      <c r="F7" s="17"/>
      <c r="G7" s="35"/>
      <c r="H7" s="31"/>
      <c r="I7" s="35"/>
    </row>
    <row r="8" spans="1:9" x14ac:dyDescent="0.35">
      <c r="A8" s="60"/>
      <c r="B8" s="60"/>
      <c r="C8" s="60"/>
      <c r="E8" s="35"/>
      <c r="F8" s="17"/>
      <c r="G8" s="35"/>
      <c r="H8" s="31"/>
      <c r="I8" s="35"/>
    </row>
    <row r="9" spans="1:9" x14ac:dyDescent="0.35">
      <c r="A9" s="61"/>
      <c r="B9" s="61"/>
      <c r="C9" s="61"/>
      <c r="D9" s="13"/>
      <c r="E9" s="13"/>
      <c r="F9" s="20"/>
      <c r="G9" s="37"/>
      <c r="H9" s="4"/>
      <c r="I9" s="37"/>
    </row>
    <row r="10" spans="1:9" x14ac:dyDescent="0.35">
      <c r="A10" s="59">
        <v>2</v>
      </c>
      <c r="B10" s="59"/>
      <c r="C10" s="59"/>
      <c r="E10" s="35"/>
      <c r="F10" s="17"/>
      <c r="G10" s="35"/>
      <c r="H10" s="3"/>
      <c r="I10" s="42"/>
    </row>
    <row r="11" spans="1:9" x14ac:dyDescent="0.35">
      <c r="A11" s="60"/>
      <c r="B11" s="60"/>
      <c r="C11" s="60"/>
      <c r="E11" s="35"/>
      <c r="F11" s="17"/>
      <c r="G11" s="35"/>
      <c r="I11" s="42"/>
    </row>
    <row r="12" spans="1:9" x14ac:dyDescent="0.35">
      <c r="A12" s="60"/>
      <c r="B12" s="60"/>
      <c r="C12" s="60"/>
      <c r="E12" s="35"/>
      <c r="F12" s="18"/>
      <c r="G12" s="36"/>
      <c r="H12" s="31"/>
      <c r="I12" s="35"/>
    </row>
    <row r="13" spans="1:9" x14ac:dyDescent="0.35">
      <c r="A13" s="60"/>
      <c r="B13" s="60"/>
      <c r="C13" s="60"/>
      <c r="E13" s="35"/>
      <c r="F13" s="18"/>
      <c r="G13" s="36"/>
      <c r="H13" s="31"/>
      <c r="I13" s="35"/>
    </row>
    <row r="14" spans="1:9" x14ac:dyDescent="0.35">
      <c r="A14" s="60"/>
      <c r="B14" s="60"/>
      <c r="C14" s="60"/>
      <c r="E14" s="35"/>
      <c r="F14" s="18"/>
      <c r="G14" s="36"/>
      <c r="H14" s="31"/>
      <c r="I14" s="35"/>
    </row>
    <row r="15" spans="1:9" x14ac:dyDescent="0.35">
      <c r="A15" s="60"/>
      <c r="B15" s="60"/>
      <c r="C15" s="60"/>
      <c r="E15" s="35"/>
      <c r="F15" s="18"/>
      <c r="G15" s="36"/>
      <c r="H15" s="31"/>
      <c r="I15" s="35"/>
    </row>
    <row r="16" spans="1:9" x14ac:dyDescent="0.35">
      <c r="A16" s="60"/>
      <c r="B16" s="60"/>
      <c r="C16" s="60"/>
      <c r="E16" s="35"/>
      <c r="F16" s="18"/>
      <c r="G16" s="36"/>
      <c r="H16" s="31"/>
      <c r="I16" s="35"/>
    </row>
    <row r="17" spans="1:10" x14ac:dyDescent="0.35">
      <c r="A17" s="60"/>
      <c r="B17" s="60"/>
      <c r="C17" s="60"/>
      <c r="E17" s="35"/>
      <c r="F17" s="18"/>
      <c r="G17" s="36"/>
      <c r="H17" s="31"/>
      <c r="I17" s="35"/>
    </row>
    <row r="18" spans="1:10" x14ac:dyDescent="0.35">
      <c r="A18" s="60"/>
      <c r="B18" s="60"/>
      <c r="C18" s="60"/>
      <c r="E18" s="35"/>
      <c r="F18" s="18"/>
      <c r="G18" s="36"/>
      <c r="H18" s="31"/>
      <c r="I18" s="35"/>
    </row>
    <row r="19" spans="1:10" x14ac:dyDescent="0.35">
      <c r="A19" s="60"/>
      <c r="B19" s="60"/>
      <c r="C19" s="60"/>
      <c r="E19" s="35"/>
      <c r="F19" s="17"/>
      <c r="G19" s="35"/>
      <c r="H19" s="31"/>
      <c r="I19" s="35"/>
    </row>
    <row r="20" spans="1:10" x14ac:dyDescent="0.35">
      <c r="A20" s="61"/>
      <c r="B20" s="61"/>
      <c r="C20" s="61"/>
      <c r="D20" s="13"/>
      <c r="E20" s="13"/>
      <c r="F20" s="20"/>
      <c r="G20" s="37"/>
      <c r="H20" s="4"/>
      <c r="I20" s="37"/>
    </row>
    <row r="21" spans="1:10" x14ac:dyDescent="0.35">
      <c r="A21" s="59">
        <v>3</v>
      </c>
      <c r="B21" s="59"/>
      <c r="C21" s="59"/>
      <c r="E21" s="35"/>
      <c r="F21" s="17"/>
      <c r="G21" s="35"/>
      <c r="H21" s="3"/>
      <c r="I21" s="42"/>
    </row>
    <row r="22" spans="1:10" x14ac:dyDescent="0.35">
      <c r="A22" s="60"/>
      <c r="B22" s="60"/>
      <c r="C22" s="60"/>
      <c r="E22" s="35"/>
      <c r="F22" s="17"/>
      <c r="G22" s="35"/>
      <c r="I22" s="42"/>
    </row>
    <row r="23" spans="1:10" x14ac:dyDescent="0.35">
      <c r="A23" s="60"/>
      <c r="B23" s="60"/>
      <c r="C23" s="60"/>
      <c r="E23" s="35"/>
      <c r="F23" s="17"/>
      <c r="G23" s="35"/>
      <c r="H23" s="28"/>
      <c r="I23" s="35"/>
    </row>
    <row r="24" spans="1:10" x14ac:dyDescent="0.35">
      <c r="A24" s="60"/>
      <c r="B24" s="60"/>
      <c r="C24" s="60"/>
      <c r="E24" s="35"/>
      <c r="F24" s="17"/>
      <c r="G24" s="35"/>
      <c r="H24" s="31"/>
      <c r="I24" s="35"/>
    </row>
    <row r="25" spans="1:10" x14ac:dyDescent="0.35">
      <c r="A25" s="60"/>
      <c r="B25" s="60"/>
      <c r="C25" s="60"/>
      <c r="E25" s="35"/>
      <c r="F25" s="18"/>
      <c r="G25" s="36"/>
      <c r="H25" s="31"/>
      <c r="I25" s="35"/>
    </row>
    <row r="26" spans="1:10" x14ac:dyDescent="0.35">
      <c r="A26" s="60"/>
      <c r="B26" s="60"/>
      <c r="C26" s="60"/>
      <c r="E26" s="35"/>
      <c r="F26" s="18"/>
      <c r="G26" s="36"/>
      <c r="H26" s="31"/>
      <c r="I26" s="35"/>
    </row>
    <row r="27" spans="1:10" x14ac:dyDescent="0.35">
      <c r="A27" s="60"/>
      <c r="B27" s="60"/>
      <c r="C27" s="60"/>
      <c r="E27" s="35"/>
      <c r="G27" s="35"/>
      <c r="H27" s="31"/>
      <c r="I27" s="35"/>
    </row>
    <row r="28" spans="1:10" x14ac:dyDescent="0.35">
      <c r="A28" s="60"/>
      <c r="B28" s="60"/>
      <c r="C28" s="60"/>
      <c r="E28" s="35"/>
      <c r="G28" s="35"/>
      <c r="H28" s="31"/>
      <c r="I28" s="35"/>
    </row>
    <row r="29" spans="1:10" x14ac:dyDescent="0.35">
      <c r="A29" s="60"/>
      <c r="B29" s="60"/>
      <c r="C29" s="60"/>
      <c r="E29" s="35"/>
      <c r="G29" s="35"/>
      <c r="H29" s="31"/>
      <c r="I29" s="35"/>
    </row>
    <row r="30" spans="1:10" x14ac:dyDescent="0.35">
      <c r="A30" s="60"/>
      <c r="B30" s="60"/>
      <c r="C30" s="60"/>
      <c r="D30" s="13"/>
      <c r="E30" s="38"/>
      <c r="F30" s="48"/>
      <c r="G30" s="37"/>
      <c r="H30" s="4"/>
      <c r="I30" s="37"/>
    </row>
    <row r="31" spans="1:10" x14ac:dyDescent="0.35">
      <c r="A31" s="59">
        <v>4</v>
      </c>
      <c r="B31" s="59">
        <v>20</v>
      </c>
      <c r="C31" s="59">
        <v>20</v>
      </c>
      <c r="D31" s="12" t="s">
        <v>17</v>
      </c>
      <c r="E31" s="35">
        <v>2</v>
      </c>
      <c r="F31" s="78" t="s">
        <v>155</v>
      </c>
      <c r="G31" s="79">
        <v>1</v>
      </c>
      <c r="H31" s="3" t="s">
        <v>148</v>
      </c>
      <c r="I31" s="42">
        <v>15</v>
      </c>
    </row>
    <row r="32" spans="1:10" x14ac:dyDescent="0.35">
      <c r="A32" s="60"/>
      <c r="B32" s="60"/>
      <c r="C32" s="60"/>
      <c r="D32" s="12" t="s">
        <v>18</v>
      </c>
      <c r="E32" s="35">
        <v>3</v>
      </c>
      <c r="F32" s="18" t="s">
        <v>12</v>
      </c>
      <c r="G32" s="36">
        <v>1</v>
      </c>
      <c r="H32" t="s">
        <v>156</v>
      </c>
      <c r="I32" s="3">
        <v>5</v>
      </c>
      <c r="J32" s="3"/>
    </row>
    <row r="33" spans="1:9" x14ac:dyDescent="0.35">
      <c r="A33" s="60"/>
      <c r="B33" s="60"/>
      <c r="C33" s="60"/>
      <c r="D33" s="12" t="s">
        <v>19</v>
      </c>
      <c r="E33" s="35">
        <v>1</v>
      </c>
      <c r="F33" s="18" t="s">
        <v>40</v>
      </c>
      <c r="G33" s="36">
        <v>1</v>
      </c>
      <c r="H33" s="3"/>
      <c r="I33" s="42"/>
    </row>
    <row r="34" spans="1:9" x14ac:dyDescent="0.35">
      <c r="A34" s="60"/>
      <c r="B34" s="60"/>
      <c r="C34" s="60"/>
      <c r="D34" s="12" t="s">
        <v>36</v>
      </c>
      <c r="E34" s="35">
        <v>1</v>
      </c>
      <c r="F34" s="18"/>
      <c r="G34" s="36"/>
      <c r="H34" s="3"/>
      <c r="I34" s="42"/>
    </row>
    <row r="35" spans="1:9" x14ac:dyDescent="0.35">
      <c r="A35" s="60"/>
      <c r="B35" s="60"/>
      <c r="C35" s="60"/>
      <c r="D35" s="12" t="s">
        <v>37</v>
      </c>
      <c r="E35" s="35">
        <v>1</v>
      </c>
      <c r="F35" s="18"/>
      <c r="G35" s="36"/>
      <c r="H35" s="3"/>
      <c r="I35" s="42"/>
    </row>
    <row r="36" spans="1:9" x14ac:dyDescent="0.35">
      <c r="A36" s="60"/>
      <c r="B36" s="60"/>
      <c r="C36" s="60"/>
      <c r="D36" s="12" t="s">
        <v>32</v>
      </c>
      <c r="E36" s="35">
        <v>1</v>
      </c>
      <c r="F36" s="18"/>
      <c r="G36" s="36"/>
      <c r="H36" s="3"/>
      <c r="I36" s="42"/>
    </row>
    <row r="37" spans="1:9" x14ac:dyDescent="0.35">
      <c r="A37" s="60"/>
      <c r="B37" s="60"/>
      <c r="C37" s="60"/>
      <c r="D37" s="12" t="s">
        <v>6</v>
      </c>
      <c r="E37" s="35">
        <v>3</v>
      </c>
      <c r="F37" s="18"/>
      <c r="G37" s="36"/>
      <c r="H37" s="3"/>
      <c r="I37" s="42"/>
    </row>
    <row r="38" spans="1:9" x14ac:dyDescent="0.35">
      <c r="A38" s="60"/>
      <c r="B38" s="60"/>
      <c r="C38" s="60"/>
      <c r="D38" s="12" t="s">
        <v>7</v>
      </c>
      <c r="E38" s="35">
        <v>1</v>
      </c>
      <c r="F38" s="18"/>
      <c r="G38" s="36"/>
      <c r="H38" s="3"/>
      <c r="I38" s="42"/>
    </row>
    <row r="39" spans="1:9" x14ac:dyDescent="0.35">
      <c r="A39" s="60"/>
      <c r="B39" s="60"/>
      <c r="C39" s="60"/>
      <c r="D39" s="12" t="s">
        <v>8</v>
      </c>
      <c r="E39" s="35">
        <v>3</v>
      </c>
      <c r="F39" s="18"/>
      <c r="G39" s="36"/>
      <c r="H39" s="3"/>
      <c r="I39" s="42"/>
    </row>
    <row r="40" spans="1:9" x14ac:dyDescent="0.35">
      <c r="A40" s="60"/>
      <c r="B40" s="60"/>
      <c r="C40" s="60"/>
      <c r="D40" s="12" t="s">
        <v>9</v>
      </c>
      <c r="E40" s="35">
        <v>1</v>
      </c>
      <c r="F40" s="18"/>
      <c r="G40" s="36"/>
      <c r="H40" s="3"/>
      <c r="I40" s="42"/>
    </row>
    <row r="41" spans="1:9" x14ac:dyDescent="0.35">
      <c r="A41" s="60"/>
      <c r="B41" s="60"/>
      <c r="C41" s="60"/>
      <c r="D41" s="12" t="s">
        <v>10</v>
      </c>
      <c r="E41" s="35">
        <v>2</v>
      </c>
      <c r="F41" s="18"/>
      <c r="G41" s="36"/>
      <c r="H41" s="3"/>
      <c r="I41" s="42"/>
    </row>
    <row r="42" spans="1:9" x14ac:dyDescent="0.35">
      <c r="A42" s="60"/>
      <c r="B42" s="60"/>
      <c r="C42" s="60"/>
      <c r="D42" s="13" t="s">
        <v>12</v>
      </c>
      <c r="E42" s="38">
        <f>SUM(E31:E41)</f>
        <v>19</v>
      </c>
      <c r="F42" s="51"/>
      <c r="G42" s="37"/>
      <c r="H42" s="2"/>
      <c r="I42" s="44"/>
    </row>
    <row r="43" spans="1:9" x14ac:dyDescent="0.35">
      <c r="A43" s="59">
        <v>5</v>
      </c>
      <c r="B43" s="59"/>
      <c r="C43" s="59"/>
      <c r="E43" s="35"/>
      <c r="F43" s="53"/>
      <c r="G43" s="35"/>
      <c r="H43" s="3"/>
      <c r="I43" s="42"/>
    </row>
    <row r="44" spans="1:9" x14ac:dyDescent="0.35">
      <c r="A44" s="60"/>
      <c r="B44" s="60"/>
      <c r="C44" s="60"/>
      <c r="E44" s="35"/>
      <c r="F44" s="3"/>
      <c r="G44" s="35"/>
      <c r="H44" s="3"/>
      <c r="I44" s="42"/>
    </row>
    <row r="45" spans="1:9" x14ac:dyDescent="0.35">
      <c r="A45" s="60"/>
      <c r="B45" s="60"/>
      <c r="C45" s="60"/>
      <c r="E45" s="35"/>
      <c r="G45" s="35"/>
      <c r="H45" s="3"/>
      <c r="I45" s="42"/>
    </row>
    <row r="46" spans="1:9" x14ac:dyDescent="0.35">
      <c r="A46" s="60"/>
      <c r="B46" s="60"/>
      <c r="C46" s="60"/>
      <c r="E46" s="35"/>
      <c r="F46" s="18"/>
      <c r="G46" s="36"/>
      <c r="H46" s="3"/>
      <c r="I46" s="42"/>
    </row>
    <row r="47" spans="1:9" x14ac:dyDescent="0.35">
      <c r="A47" s="60"/>
      <c r="B47" s="60"/>
      <c r="C47" s="60"/>
      <c r="E47" s="35"/>
      <c r="F47" s="18"/>
      <c r="G47" s="36"/>
      <c r="H47" s="3"/>
      <c r="I47" s="42"/>
    </row>
    <row r="48" spans="1:9" x14ac:dyDescent="0.35">
      <c r="A48" s="60"/>
      <c r="B48" s="60"/>
      <c r="C48" s="60"/>
      <c r="E48" s="35"/>
      <c r="F48" s="18"/>
      <c r="G48" s="36"/>
      <c r="H48" s="3"/>
      <c r="I48" s="42"/>
    </row>
    <row r="49" spans="1:9" x14ac:dyDescent="0.35">
      <c r="A49" s="60"/>
      <c r="B49" s="60"/>
      <c r="C49" s="60"/>
      <c r="E49" s="35"/>
      <c r="F49" s="8"/>
      <c r="G49" s="36"/>
      <c r="H49" s="3"/>
      <c r="I49" s="42"/>
    </row>
    <row r="50" spans="1:9" x14ac:dyDescent="0.35">
      <c r="A50" s="60"/>
      <c r="B50" s="60"/>
      <c r="C50" s="62"/>
      <c r="D50" s="36"/>
      <c r="E50" s="55"/>
      <c r="F50" s="42"/>
      <c r="G50" s="35"/>
      <c r="H50" s="2"/>
      <c r="I50" s="44"/>
    </row>
    <row r="51" spans="1:9" x14ac:dyDescent="0.35">
      <c r="A51" s="59">
        <v>6</v>
      </c>
      <c r="B51" s="59"/>
      <c r="C51" s="59"/>
      <c r="D51" s="46"/>
      <c r="E51" s="34"/>
      <c r="F51" s="27"/>
      <c r="G51" s="34"/>
      <c r="H51" s="3"/>
      <c r="I51" s="42"/>
    </row>
    <row r="52" spans="1:9" x14ac:dyDescent="0.35">
      <c r="A52" s="60"/>
      <c r="B52" s="60"/>
      <c r="C52" s="60"/>
      <c r="E52" s="35"/>
      <c r="F52" s="18"/>
      <c r="G52" s="36"/>
      <c r="H52" s="3"/>
      <c r="I52" s="42"/>
    </row>
    <row r="53" spans="1:9" x14ac:dyDescent="0.35">
      <c r="A53" s="60"/>
      <c r="B53" s="60"/>
      <c r="C53" s="60"/>
      <c r="E53" s="35"/>
      <c r="F53" s="18"/>
      <c r="G53" s="36"/>
      <c r="H53" s="3"/>
      <c r="I53" s="42"/>
    </row>
    <row r="54" spans="1:9" x14ac:dyDescent="0.35">
      <c r="A54" s="60"/>
      <c r="B54" s="60"/>
      <c r="C54" s="60"/>
      <c r="E54" s="35"/>
      <c r="F54" s="8"/>
      <c r="G54" s="36"/>
      <c r="H54" s="3"/>
      <c r="I54" s="42"/>
    </row>
    <row r="55" spans="1:9" x14ac:dyDescent="0.35">
      <c r="A55" s="60"/>
      <c r="B55" s="60"/>
      <c r="C55" s="60"/>
      <c r="E55" s="35"/>
      <c r="F55" s="8"/>
      <c r="G55" s="36"/>
      <c r="H55" s="3"/>
      <c r="I55" s="42"/>
    </row>
    <row r="56" spans="1:9" x14ac:dyDescent="0.35">
      <c r="A56" s="60"/>
      <c r="B56" s="60"/>
      <c r="C56" s="60"/>
      <c r="D56" s="16"/>
      <c r="E56" s="36"/>
      <c r="G56" s="35"/>
      <c r="H56" s="2"/>
      <c r="I56" s="44"/>
    </row>
    <row r="57" spans="1:9" x14ac:dyDescent="0.35">
      <c r="A57" s="59">
        <v>7</v>
      </c>
      <c r="B57" s="59"/>
      <c r="C57" s="59"/>
      <c r="D57" s="46"/>
      <c r="E57" s="34"/>
      <c r="F57" s="27"/>
      <c r="G57" s="34"/>
      <c r="H57" s="3"/>
      <c r="I57" s="42"/>
    </row>
    <row r="58" spans="1:9" x14ac:dyDescent="0.35">
      <c r="A58" s="60"/>
      <c r="B58" s="60"/>
      <c r="C58" s="60"/>
      <c r="E58" s="35"/>
      <c r="F58" s="18"/>
      <c r="G58" s="36"/>
      <c r="H58" s="3"/>
      <c r="I58" s="42"/>
    </row>
    <row r="59" spans="1:9" x14ac:dyDescent="0.35">
      <c r="A59" s="60"/>
      <c r="B59" s="60"/>
      <c r="C59" s="60"/>
      <c r="E59" s="35"/>
      <c r="F59" s="18"/>
      <c r="G59" s="36"/>
      <c r="H59" s="3"/>
      <c r="I59" s="42"/>
    </row>
    <row r="60" spans="1:9" x14ac:dyDescent="0.35">
      <c r="A60" s="60"/>
      <c r="B60" s="60"/>
      <c r="C60" s="60"/>
      <c r="E60" s="35"/>
      <c r="F60" s="8"/>
      <c r="G60" s="36"/>
      <c r="H60" s="3"/>
      <c r="I60" s="42"/>
    </row>
    <row r="61" spans="1:9" x14ac:dyDescent="0.35">
      <c r="A61" s="60"/>
      <c r="B61" s="60"/>
      <c r="C61" s="60"/>
      <c r="E61" s="35"/>
      <c r="F61" s="8"/>
      <c r="G61" s="36"/>
      <c r="H61" s="42"/>
      <c r="I61" s="42"/>
    </row>
    <row r="62" spans="1:9" x14ac:dyDescent="0.35">
      <c r="A62" s="61"/>
      <c r="B62" s="61"/>
      <c r="C62" s="61"/>
      <c r="D62" s="13"/>
      <c r="E62" s="38"/>
      <c r="F62" s="1"/>
      <c r="G62" s="37"/>
      <c r="H62" s="2"/>
      <c r="I62" s="44"/>
    </row>
    <row r="63" spans="1:9" x14ac:dyDescent="0.35">
      <c r="A63" s="59">
        <v>8</v>
      </c>
      <c r="B63" s="59"/>
      <c r="C63" s="59"/>
      <c r="D63" s="46"/>
      <c r="E63" s="34"/>
      <c r="F63" s="27"/>
      <c r="G63" s="34"/>
      <c r="H63" s="3"/>
      <c r="I63" s="42"/>
    </row>
    <row r="64" spans="1:9" x14ac:dyDescent="0.35">
      <c r="A64" s="60"/>
      <c r="B64" s="60"/>
      <c r="C64" s="60"/>
      <c r="E64" s="35"/>
      <c r="G64" s="35"/>
      <c r="H64" s="3"/>
      <c r="I64" s="42"/>
    </row>
    <row r="65" spans="1:10" x14ac:dyDescent="0.35">
      <c r="A65" s="60"/>
      <c r="B65" s="60"/>
      <c r="C65" s="60"/>
      <c r="E65" s="35"/>
      <c r="F65" s="6"/>
      <c r="G65" s="35"/>
      <c r="H65" s="3"/>
      <c r="I65" s="42"/>
    </row>
    <row r="66" spans="1:10" x14ac:dyDescent="0.35">
      <c r="A66" s="60"/>
      <c r="B66" s="60"/>
      <c r="C66" s="60"/>
      <c r="E66" s="35"/>
      <c r="F66" s="18"/>
      <c r="G66" s="36"/>
      <c r="I66" s="3"/>
      <c r="J66" s="3"/>
    </row>
    <row r="67" spans="1:10" x14ac:dyDescent="0.35">
      <c r="A67" s="60"/>
      <c r="B67" s="60"/>
      <c r="C67" s="60"/>
      <c r="E67" s="35"/>
      <c r="F67" s="18"/>
      <c r="G67" s="36"/>
      <c r="H67" s="42"/>
      <c r="I67" s="42"/>
    </row>
    <row r="68" spans="1:10" x14ac:dyDescent="0.35">
      <c r="A68" s="60"/>
      <c r="B68" s="60"/>
      <c r="C68" s="60"/>
      <c r="E68" s="35"/>
      <c r="G68" s="35"/>
      <c r="H68" s="3"/>
      <c r="I68" s="42"/>
    </row>
    <row r="69" spans="1:10" x14ac:dyDescent="0.35">
      <c r="A69" s="60"/>
      <c r="B69" s="60"/>
      <c r="C69" s="60"/>
      <c r="E69" s="35"/>
      <c r="G69" s="35"/>
      <c r="H69" s="3"/>
      <c r="I69" s="42"/>
    </row>
    <row r="70" spans="1:10" x14ac:dyDescent="0.35">
      <c r="A70" s="60"/>
      <c r="B70" s="60"/>
      <c r="C70" s="60"/>
      <c r="E70" s="35"/>
      <c r="G70" s="35"/>
      <c r="H70" s="3"/>
      <c r="I70" s="42"/>
    </row>
    <row r="71" spans="1:10" x14ac:dyDescent="0.35">
      <c r="A71" s="60"/>
      <c r="B71" s="60"/>
      <c r="C71" s="60"/>
      <c r="E71" s="35"/>
      <c r="G71" s="35"/>
      <c r="H71" s="3"/>
      <c r="I71" s="42"/>
    </row>
    <row r="72" spans="1:10" x14ac:dyDescent="0.35">
      <c r="A72" s="60"/>
      <c r="B72" s="60"/>
      <c r="C72" s="60"/>
      <c r="E72" s="35"/>
      <c r="G72" s="35"/>
      <c r="H72" s="3"/>
      <c r="I72" s="42"/>
    </row>
    <row r="73" spans="1:10" x14ac:dyDescent="0.35">
      <c r="A73" s="61"/>
      <c r="B73" s="61"/>
      <c r="C73" s="61"/>
      <c r="D73" s="13"/>
      <c r="E73" s="38"/>
      <c r="F73" s="1"/>
      <c r="G73" s="37"/>
      <c r="H73" s="2"/>
      <c r="I73" s="44"/>
    </row>
    <row r="74" spans="1:10" x14ac:dyDescent="0.35">
      <c r="A74" s="7" t="s">
        <v>12</v>
      </c>
      <c r="B74" s="7">
        <f>SUM(B2:B62)</f>
        <v>20</v>
      </c>
    </row>
  </sheetData>
  <mergeCells count="27">
    <mergeCell ref="A63:A73"/>
    <mergeCell ref="B63:B73"/>
    <mergeCell ref="C63:C73"/>
    <mergeCell ref="A51:A56"/>
    <mergeCell ref="B51:B56"/>
    <mergeCell ref="C51:C56"/>
    <mergeCell ref="A57:A62"/>
    <mergeCell ref="B57:B62"/>
    <mergeCell ref="C57:C62"/>
    <mergeCell ref="A31:A42"/>
    <mergeCell ref="B31:B42"/>
    <mergeCell ref="C31:C42"/>
    <mergeCell ref="A43:A50"/>
    <mergeCell ref="B43:B50"/>
    <mergeCell ref="C43:C50"/>
    <mergeCell ref="A10:A20"/>
    <mergeCell ref="B10:B20"/>
    <mergeCell ref="C10:C20"/>
    <mergeCell ref="A21:A30"/>
    <mergeCell ref="B21:B30"/>
    <mergeCell ref="C21:C30"/>
    <mergeCell ref="D1:E1"/>
    <mergeCell ref="F1:G1"/>
    <mergeCell ref="H1:I1"/>
    <mergeCell ref="A2:A9"/>
    <mergeCell ref="B2:B9"/>
    <mergeCell ref="C2:C9"/>
  </mergeCells>
  <pageMargins left="0.7" right="0.7" top="0.75" bottom="0.75" header="0.3" footer="0.3"/>
  <pageSetup paperSize="9" scale="76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FA4-5494-4B41-8D78-16A6F7BD74DE}">
  <sheetPr>
    <pageSetUpPr fitToPage="1"/>
  </sheetPr>
  <dimension ref="A1:J72"/>
  <sheetViews>
    <sheetView topLeftCell="A37" zoomScale="70" zoomScaleNormal="70" zoomScalePageLayoutView="59" workbookViewId="0">
      <selection activeCell="H49" sqref="H49:I49"/>
    </sheetView>
  </sheetViews>
  <sheetFormatPr defaultRowHeight="14.5" x14ac:dyDescent="0.35"/>
  <cols>
    <col min="1" max="1" width="5.54296875" customWidth="1"/>
    <col min="2" max="2" width="7.7265625" customWidth="1"/>
    <col min="4" max="4" width="8.1796875" style="12" customWidth="1"/>
    <col min="5" max="5" width="5.6328125" style="12" customWidth="1"/>
    <col min="6" max="6" width="35.1796875" customWidth="1"/>
    <col min="7" max="7" width="8.7265625" style="12"/>
    <col min="8" max="8" width="22.54296875" customWidth="1"/>
    <col min="9" max="9" width="3.453125" customWidth="1"/>
  </cols>
  <sheetData>
    <row r="1" spans="1:9" x14ac:dyDescent="0.35">
      <c r="A1" s="14" t="s">
        <v>0</v>
      </c>
      <c r="B1" s="14" t="s">
        <v>1</v>
      </c>
      <c r="C1" s="14" t="s">
        <v>5</v>
      </c>
      <c r="D1" s="63" t="s">
        <v>2</v>
      </c>
      <c r="E1" s="64"/>
      <c r="F1" s="63" t="s">
        <v>3</v>
      </c>
      <c r="G1" s="64"/>
      <c r="H1" s="63" t="s">
        <v>4</v>
      </c>
      <c r="I1" s="64"/>
    </row>
    <row r="2" spans="1:9" x14ac:dyDescent="0.35">
      <c r="A2" s="59">
        <v>1</v>
      </c>
      <c r="B2" s="59">
        <v>39</v>
      </c>
      <c r="C2" s="59">
        <v>0</v>
      </c>
      <c r="D2" s="12" t="s">
        <v>17</v>
      </c>
      <c r="E2" s="34">
        <v>7</v>
      </c>
      <c r="F2" s="17" t="s">
        <v>153</v>
      </c>
      <c r="G2" s="34">
        <v>1</v>
      </c>
      <c r="H2" t="s">
        <v>13</v>
      </c>
      <c r="I2" s="35">
        <v>39</v>
      </c>
    </row>
    <row r="3" spans="1:9" x14ac:dyDescent="0.35">
      <c r="A3" s="60"/>
      <c r="B3" s="60"/>
      <c r="C3" s="60"/>
      <c r="D3" s="12" t="s">
        <v>18</v>
      </c>
      <c r="E3" s="35">
        <v>10</v>
      </c>
      <c r="F3" s="18" t="s">
        <v>12</v>
      </c>
      <c r="G3" s="36">
        <v>1</v>
      </c>
      <c r="H3" s="28"/>
      <c r="I3" s="35"/>
    </row>
    <row r="4" spans="1:9" x14ac:dyDescent="0.35">
      <c r="A4" s="60"/>
      <c r="B4" s="60"/>
      <c r="C4" s="60"/>
      <c r="D4" s="12" t="s">
        <v>36</v>
      </c>
      <c r="E4" s="35">
        <v>5</v>
      </c>
      <c r="F4" s="18" t="s">
        <v>40</v>
      </c>
      <c r="G4" s="36">
        <v>1</v>
      </c>
      <c r="H4" s="31"/>
      <c r="I4" s="35"/>
    </row>
    <row r="5" spans="1:9" x14ac:dyDescent="0.35">
      <c r="A5" s="60"/>
      <c r="B5" s="60"/>
      <c r="C5" s="60"/>
      <c r="D5" s="12" t="s">
        <v>6</v>
      </c>
      <c r="E5" s="35">
        <v>1</v>
      </c>
      <c r="F5" s="7"/>
      <c r="G5" s="36"/>
      <c r="H5" s="31"/>
      <c r="I5" s="35"/>
    </row>
    <row r="6" spans="1:9" x14ac:dyDescent="0.35">
      <c r="A6" s="60"/>
      <c r="B6" s="60"/>
      <c r="C6" s="60"/>
      <c r="D6" s="12" t="s">
        <v>7</v>
      </c>
      <c r="E6" s="35">
        <v>8</v>
      </c>
      <c r="F6" s="17"/>
      <c r="G6" s="35"/>
      <c r="H6" s="31"/>
      <c r="I6" s="35"/>
    </row>
    <row r="7" spans="1:9" x14ac:dyDescent="0.35">
      <c r="A7" s="60"/>
      <c r="B7" s="60"/>
      <c r="C7" s="60"/>
      <c r="D7" s="12" t="s">
        <v>8</v>
      </c>
      <c r="E7" s="35">
        <v>6</v>
      </c>
      <c r="F7" s="17"/>
      <c r="G7" s="35"/>
      <c r="H7" s="31"/>
      <c r="I7" s="35"/>
    </row>
    <row r="8" spans="1:9" x14ac:dyDescent="0.35">
      <c r="A8" s="60"/>
      <c r="B8" s="60"/>
      <c r="C8" s="60"/>
      <c r="D8" s="12" t="s">
        <v>10</v>
      </c>
      <c r="E8" s="35">
        <v>1</v>
      </c>
      <c r="F8" s="17"/>
      <c r="G8" s="35"/>
      <c r="H8" s="31"/>
      <c r="I8" s="35"/>
    </row>
    <row r="9" spans="1:9" x14ac:dyDescent="0.35">
      <c r="A9" s="61"/>
      <c r="B9" s="61"/>
      <c r="C9" s="61"/>
      <c r="D9" s="13" t="s">
        <v>12</v>
      </c>
      <c r="E9" s="13">
        <f>SUM(E2:E8)</f>
        <v>38</v>
      </c>
      <c r="F9" s="20"/>
      <c r="G9" s="37"/>
      <c r="H9" s="4"/>
      <c r="I9" s="37"/>
    </row>
    <row r="10" spans="1:9" x14ac:dyDescent="0.35">
      <c r="A10" s="59">
        <v>2</v>
      </c>
      <c r="B10" s="59">
        <v>35</v>
      </c>
      <c r="C10" s="59">
        <v>0</v>
      </c>
      <c r="D10" s="12" t="s">
        <v>17</v>
      </c>
      <c r="E10" s="35">
        <v>4</v>
      </c>
      <c r="F10" s="17" t="s">
        <v>22</v>
      </c>
      <c r="G10" s="35">
        <v>1</v>
      </c>
      <c r="H10" s="3" t="s">
        <v>106</v>
      </c>
      <c r="I10" s="42">
        <v>28</v>
      </c>
    </row>
    <row r="11" spans="1:9" x14ac:dyDescent="0.35">
      <c r="A11" s="60"/>
      <c r="B11" s="60"/>
      <c r="C11" s="60"/>
      <c r="D11" s="12" t="s">
        <v>18</v>
      </c>
      <c r="E11" s="35">
        <v>9</v>
      </c>
      <c r="F11" s="17" t="s">
        <v>21</v>
      </c>
      <c r="G11" s="35">
        <v>1</v>
      </c>
      <c r="H11" t="s">
        <v>13</v>
      </c>
      <c r="I11" s="42">
        <v>7</v>
      </c>
    </row>
    <row r="12" spans="1:9" x14ac:dyDescent="0.35">
      <c r="A12" s="60"/>
      <c r="B12" s="60"/>
      <c r="C12" s="60"/>
      <c r="D12" s="12" t="s">
        <v>36</v>
      </c>
      <c r="E12" s="35">
        <v>1</v>
      </c>
      <c r="F12" s="18" t="s">
        <v>12</v>
      </c>
      <c r="G12" s="36">
        <v>2</v>
      </c>
      <c r="H12" s="31"/>
      <c r="I12" s="35"/>
    </row>
    <row r="13" spans="1:9" x14ac:dyDescent="0.35">
      <c r="A13" s="60"/>
      <c r="B13" s="60"/>
      <c r="C13" s="60"/>
      <c r="D13" s="12" t="s">
        <v>32</v>
      </c>
      <c r="E13" s="35">
        <v>1</v>
      </c>
      <c r="F13" s="18" t="s">
        <v>40</v>
      </c>
      <c r="G13" s="36">
        <v>0</v>
      </c>
      <c r="H13" s="31"/>
      <c r="I13" s="35"/>
    </row>
    <row r="14" spans="1:9" x14ac:dyDescent="0.35">
      <c r="A14" s="60"/>
      <c r="B14" s="60"/>
      <c r="C14" s="60"/>
      <c r="D14" s="12" t="s">
        <v>6</v>
      </c>
      <c r="E14" s="35">
        <v>7</v>
      </c>
      <c r="F14" s="18"/>
      <c r="G14" s="36"/>
      <c r="H14" s="31"/>
      <c r="I14" s="35"/>
    </row>
    <row r="15" spans="1:9" x14ac:dyDescent="0.35">
      <c r="A15" s="60"/>
      <c r="B15" s="60"/>
      <c r="C15" s="60"/>
      <c r="D15" s="12" t="s">
        <v>7</v>
      </c>
      <c r="E15" s="35">
        <v>5</v>
      </c>
      <c r="F15" s="18"/>
      <c r="G15" s="36"/>
      <c r="H15" s="31"/>
      <c r="I15" s="35"/>
    </row>
    <row r="16" spans="1:9" x14ac:dyDescent="0.35">
      <c r="A16" s="60"/>
      <c r="B16" s="60"/>
      <c r="C16" s="60"/>
      <c r="D16" s="12" t="s">
        <v>8</v>
      </c>
      <c r="E16" s="35">
        <v>3</v>
      </c>
      <c r="F16" s="18"/>
      <c r="G16" s="36"/>
      <c r="H16" s="31"/>
      <c r="I16" s="35"/>
    </row>
    <row r="17" spans="1:10" x14ac:dyDescent="0.35">
      <c r="A17" s="60"/>
      <c r="B17" s="60"/>
      <c r="C17" s="60"/>
      <c r="D17" s="12" t="s">
        <v>9</v>
      </c>
      <c r="E17" s="35">
        <v>1</v>
      </c>
      <c r="F17" s="18"/>
      <c r="G17" s="36"/>
      <c r="H17" s="31"/>
      <c r="I17" s="35"/>
    </row>
    <row r="18" spans="1:10" x14ac:dyDescent="0.35">
      <c r="A18" s="60"/>
      <c r="B18" s="60"/>
      <c r="C18" s="60"/>
      <c r="D18" s="12" t="s">
        <v>10</v>
      </c>
      <c r="E18" s="35">
        <v>3</v>
      </c>
      <c r="F18" s="18"/>
      <c r="G18" s="36"/>
      <c r="H18" s="31"/>
      <c r="I18" s="35"/>
    </row>
    <row r="19" spans="1:10" x14ac:dyDescent="0.35">
      <c r="A19" s="60"/>
      <c r="B19" s="60"/>
      <c r="C19" s="60"/>
      <c r="D19" s="12" t="s">
        <v>152</v>
      </c>
      <c r="E19" s="35">
        <v>1</v>
      </c>
      <c r="F19" s="17"/>
      <c r="G19" s="35"/>
      <c r="H19" s="31"/>
      <c r="I19" s="35"/>
    </row>
    <row r="20" spans="1:10" x14ac:dyDescent="0.35">
      <c r="A20" s="61"/>
      <c r="B20" s="61"/>
      <c r="C20" s="61"/>
      <c r="D20" s="13" t="s">
        <v>12</v>
      </c>
      <c r="E20" s="13">
        <f>SUM(E10:E19)</f>
        <v>35</v>
      </c>
      <c r="F20" s="20"/>
      <c r="G20" s="37"/>
      <c r="H20" s="4"/>
      <c r="I20" s="37"/>
    </row>
    <row r="21" spans="1:10" x14ac:dyDescent="0.35">
      <c r="A21" s="59">
        <v>3</v>
      </c>
      <c r="B21" s="59">
        <v>35</v>
      </c>
      <c r="C21" s="59">
        <v>0</v>
      </c>
      <c r="D21" s="12" t="s">
        <v>17</v>
      </c>
      <c r="E21" s="35">
        <v>1</v>
      </c>
      <c r="F21" s="17" t="s">
        <v>151</v>
      </c>
      <c r="G21" s="35">
        <v>1</v>
      </c>
      <c r="H21" s="3" t="s">
        <v>106</v>
      </c>
      <c r="I21" s="42">
        <v>33</v>
      </c>
    </row>
    <row r="22" spans="1:10" x14ac:dyDescent="0.35">
      <c r="A22" s="60"/>
      <c r="B22" s="60"/>
      <c r="C22" s="60"/>
      <c r="D22" s="12" t="s">
        <v>18</v>
      </c>
      <c r="E22" s="35">
        <v>6</v>
      </c>
      <c r="F22" s="17" t="s">
        <v>73</v>
      </c>
      <c r="G22" s="35">
        <v>1</v>
      </c>
      <c r="H22" t="s">
        <v>13</v>
      </c>
      <c r="I22" s="42">
        <v>2</v>
      </c>
    </row>
    <row r="23" spans="1:10" x14ac:dyDescent="0.35">
      <c r="A23" s="60"/>
      <c r="B23" s="60"/>
      <c r="C23" s="60"/>
      <c r="D23" s="12" t="s">
        <v>19</v>
      </c>
      <c r="E23" s="35">
        <v>1</v>
      </c>
      <c r="F23" s="17" t="s">
        <v>21</v>
      </c>
      <c r="G23" s="35">
        <v>2</v>
      </c>
      <c r="H23" s="28"/>
      <c r="I23" s="35"/>
    </row>
    <row r="24" spans="1:10" x14ac:dyDescent="0.35">
      <c r="A24" s="60"/>
      <c r="B24" s="60"/>
      <c r="C24" s="60"/>
      <c r="D24" s="12" t="s">
        <v>32</v>
      </c>
      <c r="E24" s="35">
        <v>1</v>
      </c>
      <c r="F24" s="17" t="s">
        <v>22</v>
      </c>
      <c r="G24" s="35">
        <v>2</v>
      </c>
      <c r="H24" s="31"/>
      <c r="I24" s="35"/>
    </row>
    <row r="25" spans="1:10" x14ac:dyDescent="0.35">
      <c r="A25" s="60"/>
      <c r="B25" s="60"/>
      <c r="C25" s="60"/>
      <c r="D25" s="12" t="s">
        <v>6</v>
      </c>
      <c r="E25" s="35">
        <v>2</v>
      </c>
      <c r="F25" s="18" t="s">
        <v>12</v>
      </c>
      <c r="G25" s="36">
        <v>6</v>
      </c>
      <c r="H25" s="31"/>
      <c r="I25" s="35"/>
    </row>
    <row r="26" spans="1:10" x14ac:dyDescent="0.35">
      <c r="A26" s="60"/>
      <c r="B26" s="60"/>
      <c r="C26" s="60"/>
      <c r="D26" s="12" t="s">
        <v>7</v>
      </c>
      <c r="E26" s="35">
        <v>5</v>
      </c>
      <c r="F26" s="18" t="s">
        <v>40</v>
      </c>
      <c r="G26" s="36">
        <v>2</v>
      </c>
      <c r="H26" s="31"/>
      <c r="I26" s="35"/>
    </row>
    <row r="27" spans="1:10" x14ac:dyDescent="0.35">
      <c r="A27" s="60"/>
      <c r="B27" s="60"/>
      <c r="C27" s="60"/>
      <c r="D27" s="12" t="s">
        <v>8</v>
      </c>
      <c r="E27" s="35">
        <v>4</v>
      </c>
      <c r="G27" s="35"/>
      <c r="H27" s="31"/>
      <c r="I27" s="35"/>
    </row>
    <row r="28" spans="1:10" x14ac:dyDescent="0.35">
      <c r="A28" s="60"/>
      <c r="B28" s="60"/>
      <c r="C28" s="60"/>
      <c r="D28" s="12" t="s">
        <v>9</v>
      </c>
      <c r="E28" s="35">
        <v>5</v>
      </c>
      <c r="G28" s="35"/>
      <c r="H28" s="31"/>
      <c r="I28" s="35"/>
    </row>
    <row r="29" spans="1:10" x14ac:dyDescent="0.35">
      <c r="A29" s="60"/>
      <c r="B29" s="60"/>
      <c r="C29" s="60"/>
      <c r="D29" s="12" t="s">
        <v>10</v>
      </c>
      <c r="E29" s="35">
        <v>8</v>
      </c>
      <c r="G29" s="35"/>
      <c r="H29" s="31"/>
      <c r="I29" s="35"/>
    </row>
    <row r="30" spans="1:10" x14ac:dyDescent="0.35">
      <c r="A30" s="60"/>
      <c r="B30" s="60"/>
      <c r="C30" s="60"/>
      <c r="D30" s="13" t="s">
        <v>12</v>
      </c>
      <c r="E30" s="38">
        <f>SUM(E21:E29)</f>
        <v>33</v>
      </c>
      <c r="F30" s="48"/>
      <c r="G30" s="37"/>
      <c r="H30" s="4"/>
      <c r="I30" s="37"/>
    </row>
    <row r="31" spans="1:10" x14ac:dyDescent="0.35">
      <c r="A31" s="59">
        <v>4</v>
      </c>
      <c r="B31" s="59">
        <v>34</v>
      </c>
      <c r="C31" s="59">
        <v>0</v>
      </c>
      <c r="D31" s="12" t="s">
        <v>17</v>
      </c>
      <c r="E31" s="35">
        <v>2</v>
      </c>
      <c r="F31" s="18" t="s">
        <v>12</v>
      </c>
      <c r="G31" s="36">
        <v>0</v>
      </c>
      <c r="H31" s="3" t="s">
        <v>106</v>
      </c>
      <c r="I31" s="42">
        <v>29</v>
      </c>
    </row>
    <row r="32" spans="1:10" x14ac:dyDescent="0.35">
      <c r="A32" s="60"/>
      <c r="B32" s="60"/>
      <c r="C32" s="60"/>
      <c r="D32" s="12" t="s">
        <v>18</v>
      </c>
      <c r="E32" s="35">
        <v>6</v>
      </c>
      <c r="F32" s="18" t="s">
        <v>40</v>
      </c>
      <c r="G32" s="36">
        <v>0</v>
      </c>
      <c r="H32" t="s">
        <v>13</v>
      </c>
      <c r="I32" s="3">
        <v>5</v>
      </c>
      <c r="J32" s="3"/>
    </row>
    <row r="33" spans="1:9" x14ac:dyDescent="0.35">
      <c r="A33" s="60"/>
      <c r="B33" s="60"/>
      <c r="C33" s="60"/>
      <c r="D33" s="12" t="s">
        <v>31</v>
      </c>
      <c r="E33" s="35">
        <v>1</v>
      </c>
      <c r="F33" s="18"/>
      <c r="G33" s="36"/>
      <c r="H33" s="3"/>
      <c r="I33" s="42"/>
    </row>
    <row r="34" spans="1:9" x14ac:dyDescent="0.35">
      <c r="A34" s="60"/>
      <c r="B34" s="60"/>
      <c r="C34" s="60"/>
      <c r="D34" s="12" t="s">
        <v>6</v>
      </c>
      <c r="E34" s="35">
        <v>3</v>
      </c>
      <c r="F34" s="18"/>
      <c r="G34" s="36"/>
      <c r="H34" s="3"/>
      <c r="I34" s="42"/>
    </row>
    <row r="35" spans="1:9" x14ac:dyDescent="0.35">
      <c r="A35" s="60"/>
      <c r="B35" s="60"/>
      <c r="C35" s="60"/>
      <c r="D35" s="12" t="s">
        <v>7</v>
      </c>
      <c r="E35" s="35">
        <v>4</v>
      </c>
      <c r="F35" s="18"/>
      <c r="G35" s="36"/>
      <c r="H35" s="3"/>
      <c r="I35" s="42"/>
    </row>
    <row r="36" spans="1:9" x14ac:dyDescent="0.35">
      <c r="A36" s="60"/>
      <c r="B36" s="60"/>
      <c r="C36" s="60"/>
      <c r="D36" s="12" t="s">
        <v>8</v>
      </c>
      <c r="E36" s="35">
        <v>1</v>
      </c>
      <c r="F36" s="18"/>
      <c r="G36" s="36"/>
      <c r="H36" s="3"/>
      <c r="I36" s="42"/>
    </row>
    <row r="37" spans="1:9" x14ac:dyDescent="0.35">
      <c r="A37" s="60"/>
      <c r="B37" s="60"/>
      <c r="C37" s="60"/>
      <c r="D37" s="12" t="s">
        <v>9</v>
      </c>
      <c r="E37" s="35">
        <v>7</v>
      </c>
      <c r="F37" s="18"/>
      <c r="G37" s="36"/>
      <c r="H37" s="3"/>
      <c r="I37" s="42"/>
    </row>
    <row r="38" spans="1:9" x14ac:dyDescent="0.35">
      <c r="A38" s="60"/>
      <c r="B38" s="60"/>
      <c r="C38" s="60"/>
      <c r="D38" s="12" t="s">
        <v>10</v>
      </c>
      <c r="E38" s="35">
        <v>9</v>
      </c>
      <c r="F38" s="18"/>
      <c r="G38" s="36"/>
      <c r="H38" s="3"/>
      <c r="I38" s="42"/>
    </row>
    <row r="39" spans="1:9" x14ac:dyDescent="0.35">
      <c r="A39" s="60"/>
      <c r="B39" s="60"/>
      <c r="C39" s="60"/>
      <c r="D39" s="12" t="s">
        <v>11</v>
      </c>
      <c r="E39" s="35">
        <v>1</v>
      </c>
      <c r="F39" s="18"/>
      <c r="G39" s="36"/>
      <c r="H39" s="3"/>
      <c r="I39" s="42"/>
    </row>
    <row r="40" spans="1:9" x14ac:dyDescent="0.35">
      <c r="A40" s="60"/>
      <c r="B40" s="60"/>
      <c r="C40" s="60"/>
      <c r="D40" s="13" t="s">
        <v>12</v>
      </c>
      <c r="E40" s="38">
        <f>SUM(E31:E39)</f>
        <v>34</v>
      </c>
      <c r="F40" s="51"/>
      <c r="G40" s="37"/>
      <c r="H40" s="2"/>
      <c r="I40" s="44"/>
    </row>
    <row r="41" spans="1:9" x14ac:dyDescent="0.35">
      <c r="A41" s="59">
        <v>5</v>
      </c>
      <c r="B41" s="59">
        <v>25</v>
      </c>
      <c r="C41" s="59">
        <v>0</v>
      </c>
      <c r="D41" s="12" t="s">
        <v>17</v>
      </c>
      <c r="E41" s="35">
        <v>5</v>
      </c>
      <c r="F41" s="53" t="s">
        <v>16</v>
      </c>
      <c r="G41" s="35">
        <v>1</v>
      </c>
      <c r="H41" s="3" t="s">
        <v>106</v>
      </c>
      <c r="I41" s="42">
        <v>11</v>
      </c>
    </row>
    <row r="42" spans="1:9" x14ac:dyDescent="0.35">
      <c r="A42" s="60"/>
      <c r="B42" s="60"/>
      <c r="C42" s="60"/>
      <c r="D42" s="12" t="s">
        <v>18</v>
      </c>
      <c r="E42" s="35">
        <v>10</v>
      </c>
      <c r="F42" s="3" t="s">
        <v>22</v>
      </c>
      <c r="G42" s="35">
        <v>2</v>
      </c>
      <c r="H42" s="3" t="s">
        <v>147</v>
      </c>
      <c r="I42" s="42">
        <v>14</v>
      </c>
    </row>
    <row r="43" spans="1:9" x14ac:dyDescent="0.35">
      <c r="A43" s="60"/>
      <c r="B43" s="60"/>
      <c r="C43" s="60"/>
      <c r="D43" s="12" t="s">
        <v>36</v>
      </c>
      <c r="E43" s="35">
        <v>2</v>
      </c>
      <c r="F43" t="s">
        <v>146</v>
      </c>
      <c r="G43" s="35">
        <v>7</v>
      </c>
      <c r="H43" s="3"/>
      <c r="I43" s="42"/>
    </row>
    <row r="44" spans="1:9" x14ac:dyDescent="0.35">
      <c r="A44" s="60"/>
      <c r="B44" s="60"/>
      <c r="C44" s="60"/>
      <c r="D44" s="12" t="s">
        <v>32</v>
      </c>
      <c r="E44" s="35">
        <v>1</v>
      </c>
      <c r="F44" s="18" t="s">
        <v>12</v>
      </c>
      <c r="G44" s="36">
        <v>10</v>
      </c>
      <c r="H44" s="3"/>
      <c r="I44" s="42"/>
    </row>
    <row r="45" spans="1:9" x14ac:dyDescent="0.35">
      <c r="A45" s="60"/>
      <c r="B45" s="60"/>
      <c r="C45" s="60"/>
      <c r="D45" s="12" t="s">
        <v>7</v>
      </c>
      <c r="E45" s="35">
        <v>3</v>
      </c>
      <c r="F45" s="18" t="s">
        <v>40</v>
      </c>
      <c r="G45" s="36">
        <v>0</v>
      </c>
      <c r="H45" s="3"/>
      <c r="I45" s="42"/>
    </row>
    <row r="46" spans="1:9" x14ac:dyDescent="0.35">
      <c r="A46" s="60"/>
      <c r="B46" s="60"/>
      <c r="C46" s="60"/>
      <c r="D46" s="12" t="s">
        <v>9</v>
      </c>
      <c r="E46" s="35">
        <v>3</v>
      </c>
      <c r="F46" s="18"/>
      <c r="G46" s="36"/>
      <c r="H46" s="3"/>
      <c r="I46" s="42"/>
    </row>
    <row r="47" spans="1:9" x14ac:dyDescent="0.35">
      <c r="A47" s="60"/>
      <c r="B47" s="60"/>
      <c r="C47" s="60"/>
      <c r="D47" s="12" t="s">
        <v>10</v>
      </c>
      <c r="E47" s="35">
        <v>1</v>
      </c>
      <c r="F47" s="8"/>
      <c r="G47" s="36"/>
      <c r="H47" s="3"/>
      <c r="I47" s="42"/>
    </row>
    <row r="48" spans="1:9" x14ac:dyDescent="0.35">
      <c r="A48" s="60"/>
      <c r="B48" s="60"/>
      <c r="C48" s="62"/>
      <c r="D48" s="36" t="s">
        <v>12</v>
      </c>
      <c r="E48" s="55">
        <f>SUM(E41:E47)</f>
        <v>25</v>
      </c>
      <c r="F48" s="42"/>
      <c r="G48" s="35"/>
      <c r="H48" s="2"/>
      <c r="I48" s="44"/>
    </row>
    <row r="49" spans="1:10" x14ac:dyDescent="0.35">
      <c r="A49" s="59">
        <v>6</v>
      </c>
      <c r="B49" s="59">
        <v>21</v>
      </c>
      <c r="C49" s="59">
        <v>0</v>
      </c>
      <c r="D49" s="46" t="s">
        <v>17</v>
      </c>
      <c r="E49" s="34">
        <v>6</v>
      </c>
      <c r="F49" s="27" t="s">
        <v>55</v>
      </c>
      <c r="G49" s="34">
        <v>1</v>
      </c>
      <c r="H49" s="3" t="s">
        <v>148</v>
      </c>
      <c r="I49" s="42">
        <v>21</v>
      </c>
    </row>
    <row r="50" spans="1:10" x14ac:dyDescent="0.35">
      <c r="A50" s="60"/>
      <c r="B50" s="60"/>
      <c r="C50" s="60"/>
      <c r="D50" s="12" t="s">
        <v>18</v>
      </c>
      <c r="E50" s="35">
        <v>11</v>
      </c>
      <c r="F50" s="18" t="s">
        <v>12</v>
      </c>
      <c r="G50" s="36">
        <v>1</v>
      </c>
      <c r="H50" s="3"/>
      <c r="I50" s="42"/>
    </row>
    <row r="51" spans="1:10" x14ac:dyDescent="0.35">
      <c r="A51" s="60"/>
      <c r="B51" s="60"/>
      <c r="C51" s="60"/>
      <c r="D51" s="12" t="s">
        <v>19</v>
      </c>
      <c r="E51" s="35">
        <v>1</v>
      </c>
      <c r="F51" s="18" t="s">
        <v>40</v>
      </c>
      <c r="G51" s="36">
        <v>1</v>
      </c>
      <c r="H51" s="3"/>
      <c r="I51" s="42"/>
    </row>
    <row r="52" spans="1:10" x14ac:dyDescent="0.35">
      <c r="A52" s="60"/>
      <c r="B52" s="60"/>
      <c r="C52" s="60"/>
      <c r="D52" s="12" t="s">
        <v>31</v>
      </c>
      <c r="E52" s="35">
        <v>1</v>
      </c>
      <c r="F52" s="8"/>
      <c r="G52" s="36"/>
      <c r="H52" s="3"/>
      <c r="I52" s="42"/>
    </row>
    <row r="53" spans="1:10" x14ac:dyDescent="0.35">
      <c r="A53" s="60"/>
      <c r="B53" s="60"/>
      <c r="C53" s="60"/>
      <c r="D53" s="12" t="s">
        <v>32</v>
      </c>
      <c r="E53" s="35">
        <v>1</v>
      </c>
      <c r="F53" s="8"/>
      <c r="G53" s="36"/>
      <c r="H53" s="3"/>
      <c r="I53" s="42"/>
    </row>
    <row r="54" spans="1:10" x14ac:dyDescent="0.35">
      <c r="A54" s="60"/>
      <c r="B54" s="60"/>
      <c r="C54" s="60"/>
      <c r="D54" s="16" t="s">
        <v>12</v>
      </c>
      <c r="E54" s="36">
        <f>SUM(E49:E53)</f>
        <v>20</v>
      </c>
      <c r="G54" s="35"/>
      <c r="H54" s="2"/>
      <c r="I54" s="44"/>
    </row>
    <row r="55" spans="1:10" x14ac:dyDescent="0.35">
      <c r="A55" s="59">
        <v>7</v>
      </c>
      <c r="B55" s="59">
        <v>15</v>
      </c>
      <c r="C55" s="59">
        <v>0</v>
      </c>
      <c r="D55" s="46" t="s">
        <v>58</v>
      </c>
      <c r="E55" s="34">
        <v>1</v>
      </c>
      <c r="F55" s="27" t="s">
        <v>146</v>
      </c>
      <c r="G55" s="34">
        <v>2</v>
      </c>
      <c r="H55" s="3" t="s">
        <v>148</v>
      </c>
      <c r="I55" s="42">
        <v>15</v>
      </c>
    </row>
    <row r="56" spans="1:10" x14ac:dyDescent="0.35">
      <c r="A56" s="60"/>
      <c r="B56" s="60"/>
      <c r="C56" s="60"/>
      <c r="D56" s="12" t="s">
        <v>17</v>
      </c>
      <c r="E56" s="35">
        <v>3</v>
      </c>
      <c r="F56" s="18" t="s">
        <v>12</v>
      </c>
      <c r="G56" s="36">
        <v>0</v>
      </c>
      <c r="H56" s="3"/>
      <c r="I56" s="42"/>
    </row>
    <row r="57" spans="1:10" x14ac:dyDescent="0.35">
      <c r="A57" s="60"/>
      <c r="B57" s="60"/>
      <c r="C57" s="60"/>
      <c r="D57" s="12" t="s">
        <v>18</v>
      </c>
      <c r="E57" s="35">
        <v>8</v>
      </c>
      <c r="F57" s="18" t="s">
        <v>40</v>
      </c>
      <c r="G57" s="36">
        <v>0</v>
      </c>
      <c r="H57" s="3"/>
      <c r="I57" s="42"/>
    </row>
    <row r="58" spans="1:10" x14ac:dyDescent="0.35">
      <c r="A58" s="60"/>
      <c r="B58" s="60"/>
      <c r="C58" s="60"/>
      <c r="D58" s="12" t="s">
        <v>19</v>
      </c>
      <c r="E58" s="35">
        <v>1</v>
      </c>
      <c r="F58" s="8"/>
      <c r="G58" s="36"/>
      <c r="H58" s="3"/>
      <c r="I58" s="42"/>
    </row>
    <row r="59" spans="1:10" x14ac:dyDescent="0.35">
      <c r="A59" s="60"/>
      <c r="B59" s="60"/>
      <c r="C59" s="60"/>
      <c r="D59" s="12" t="s">
        <v>36</v>
      </c>
      <c r="E59" s="35">
        <v>2</v>
      </c>
      <c r="F59" s="8"/>
      <c r="G59" s="36"/>
      <c r="H59" s="42"/>
      <c r="I59" s="42"/>
    </row>
    <row r="60" spans="1:10" x14ac:dyDescent="0.35">
      <c r="A60" s="61"/>
      <c r="B60" s="61"/>
      <c r="C60" s="61"/>
      <c r="D60" s="13" t="s">
        <v>12</v>
      </c>
      <c r="E60" s="38">
        <f>SUM(E55:E59)</f>
        <v>15</v>
      </c>
      <c r="F60" s="1"/>
      <c r="G60" s="37"/>
      <c r="H60" s="2"/>
      <c r="I60" s="44"/>
    </row>
    <row r="61" spans="1:10" x14ac:dyDescent="0.35">
      <c r="A61" s="59">
        <v>8</v>
      </c>
      <c r="B61" s="59">
        <v>24</v>
      </c>
      <c r="C61" s="59">
        <v>0</v>
      </c>
      <c r="D61" s="46" t="s">
        <v>17</v>
      </c>
      <c r="E61" s="34">
        <v>5</v>
      </c>
      <c r="F61" s="27" t="s">
        <v>146</v>
      </c>
      <c r="G61" s="34">
        <v>6</v>
      </c>
      <c r="H61" s="3" t="s">
        <v>148</v>
      </c>
      <c r="I61" s="42">
        <v>19</v>
      </c>
    </row>
    <row r="62" spans="1:10" x14ac:dyDescent="0.35">
      <c r="A62" s="60"/>
      <c r="B62" s="60"/>
      <c r="C62" s="60"/>
      <c r="D62" s="12" t="s">
        <v>18</v>
      </c>
      <c r="E62" s="35">
        <v>7</v>
      </c>
      <c r="F62" t="s">
        <v>149</v>
      </c>
      <c r="G62" s="35">
        <v>1</v>
      </c>
      <c r="H62" s="3" t="s">
        <v>150</v>
      </c>
      <c r="I62" s="42">
        <v>1</v>
      </c>
    </row>
    <row r="63" spans="1:10" x14ac:dyDescent="0.35">
      <c r="A63" s="60"/>
      <c r="B63" s="60"/>
      <c r="C63" s="60"/>
      <c r="D63" s="12" t="s">
        <v>19</v>
      </c>
      <c r="E63" s="35">
        <v>1</v>
      </c>
      <c r="F63" s="6" t="s">
        <v>22</v>
      </c>
      <c r="G63" s="35">
        <v>3</v>
      </c>
      <c r="H63" s="3" t="s">
        <v>13</v>
      </c>
      <c r="I63" s="42">
        <v>4</v>
      </c>
    </row>
    <row r="64" spans="1:10" x14ac:dyDescent="0.35">
      <c r="A64" s="60"/>
      <c r="B64" s="60"/>
      <c r="C64" s="60"/>
      <c r="D64" s="12" t="s">
        <v>36</v>
      </c>
      <c r="E64" s="35">
        <v>2</v>
      </c>
      <c r="F64" s="18" t="s">
        <v>12</v>
      </c>
      <c r="G64" s="36">
        <v>10</v>
      </c>
      <c r="I64" s="3"/>
      <c r="J64" s="3"/>
    </row>
    <row r="65" spans="1:9" x14ac:dyDescent="0.35">
      <c r="A65" s="60"/>
      <c r="B65" s="60"/>
      <c r="C65" s="60"/>
      <c r="D65" s="12" t="s">
        <v>31</v>
      </c>
      <c r="E65" s="35">
        <v>1</v>
      </c>
      <c r="F65" s="18" t="s">
        <v>40</v>
      </c>
      <c r="G65" s="36">
        <v>0</v>
      </c>
      <c r="H65" s="42"/>
      <c r="I65" s="42"/>
    </row>
    <row r="66" spans="1:9" x14ac:dyDescent="0.35">
      <c r="A66" s="60"/>
      <c r="B66" s="60"/>
      <c r="C66" s="60"/>
      <c r="D66" s="12" t="s">
        <v>32</v>
      </c>
      <c r="E66" s="35">
        <v>1</v>
      </c>
      <c r="G66" s="35"/>
      <c r="H66" s="3"/>
      <c r="I66" s="42"/>
    </row>
    <row r="67" spans="1:9" x14ac:dyDescent="0.35">
      <c r="A67" s="60"/>
      <c r="B67" s="60"/>
      <c r="C67" s="60"/>
      <c r="D67" s="12" t="s">
        <v>6</v>
      </c>
      <c r="E67" s="35">
        <v>3</v>
      </c>
      <c r="G67" s="35"/>
      <c r="H67" s="3"/>
      <c r="I67" s="42"/>
    </row>
    <row r="68" spans="1:9" x14ac:dyDescent="0.35">
      <c r="A68" s="60"/>
      <c r="B68" s="60"/>
      <c r="C68" s="60"/>
      <c r="D68" s="12" t="s">
        <v>8</v>
      </c>
      <c r="E68" s="35">
        <v>1</v>
      </c>
      <c r="G68" s="35"/>
      <c r="H68" s="3"/>
      <c r="I68" s="42"/>
    </row>
    <row r="69" spans="1:9" x14ac:dyDescent="0.35">
      <c r="A69" s="60"/>
      <c r="B69" s="60"/>
      <c r="C69" s="60"/>
      <c r="D69" s="12" t="s">
        <v>10</v>
      </c>
      <c r="E69" s="35">
        <v>2</v>
      </c>
      <c r="G69" s="35"/>
      <c r="H69" s="3"/>
      <c r="I69" s="42"/>
    </row>
    <row r="70" spans="1:9" x14ac:dyDescent="0.35">
      <c r="A70" s="60"/>
      <c r="B70" s="60"/>
      <c r="C70" s="60"/>
      <c r="D70" s="12" t="s">
        <v>87</v>
      </c>
      <c r="E70" s="35">
        <v>1</v>
      </c>
      <c r="G70" s="35"/>
      <c r="H70" s="3"/>
      <c r="I70" s="42"/>
    </row>
    <row r="71" spans="1:9" x14ac:dyDescent="0.35">
      <c r="A71" s="61"/>
      <c r="B71" s="61"/>
      <c r="C71" s="61"/>
      <c r="D71" s="13" t="s">
        <v>12</v>
      </c>
      <c r="E71" s="38">
        <f>SUM(E61:E70)</f>
        <v>24</v>
      </c>
      <c r="F71" s="1"/>
      <c r="G71" s="37"/>
      <c r="H71" s="2"/>
      <c r="I71" s="44"/>
    </row>
    <row r="72" spans="1:9" x14ac:dyDescent="0.35">
      <c r="A72" s="7" t="s">
        <v>12</v>
      </c>
      <c r="B72" s="7">
        <f>SUM(B2:B60)</f>
        <v>204</v>
      </c>
    </row>
  </sheetData>
  <mergeCells count="27">
    <mergeCell ref="D1:E1"/>
    <mergeCell ref="F1:G1"/>
    <mergeCell ref="H1:I1"/>
    <mergeCell ref="A2:A9"/>
    <mergeCell ref="B2:B9"/>
    <mergeCell ref="C2:C9"/>
    <mergeCell ref="A10:A20"/>
    <mergeCell ref="B10:B20"/>
    <mergeCell ref="C10:C20"/>
    <mergeCell ref="A21:A30"/>
    <mergeCell ref="B21:B30"/>
    <mergeCell ref="C21:C30"/>
    <mergeCell ref="A31:A40"/>
    <mergeCell ref="B31:B40"/>
    <mergeCell ref="C31:C40"/>
    <mergeCell ref="A41:A48"/>
    <mergeCell ref="B41:B48"/>
    <mergeCell ref="C41:C48"/>
    <mergeCell ref="A61:A71"/>
    <mergeCell ref="B61:B71"/>
    <mergeCell ref="C61:C71"/>
    <mergeCell ref="A49:A54"/>
    <mergeCell ref="B49:B54"/>
    <mergeCell ref="C49:C54"/>
    <mergeCell ref="A55:A60"/>
    <mergeCell ref="B55:B60"/>
    <mergeCell ref="C55:C60"/>
  </mergeCells>
  <pageMargins left="0.7" right="0.7" top="0.75" bottom="0.75" header="0.3" footer="0.3"/>
  <pageSetup paperSize="9" scale="76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DA241-33B3-4F54-B213-CD7DA99A3E56}">
  <sheetPr>
    <pageSetUpPr fitToPage="1"/>
  </sheetPr>
  <dimension ref="A1:J65"/>
  <sheetViews>
    <sheetView topLeftCell="A64" zoomScale="70" zoomScaleNormal="70" zoomScalePageLayoutView="59" workbookViewId="0">
      <selection activeCell="F7" sqref="F7"/>
    </sheetView>
  </sheetViews>
  <sheetFormatPr defaultRowHeight="14.5" x14ac:dyDescent="0.35"/>
  <cols>
    <col min="1" max="1" width="5.54296875" customWidth="1"/>
    <col min="2" max="2" width="7.7265625" customWidth="1"/>
    <col min="4" max="4" width="8.1796875" style="12" customWidth="1"/>
    <col min="5" max="5" width="5.6328125" style="12" customWidth="1"/>
    <col min="6" max="6" width="35.1796875" customWidth="1"/>
    <col min="7" max="7" width="8.7265625" style="12"/>
    <col min="8" max="8" width="22.54296875" customWidth="1"/>
    <col min="9" max="9" width="3.453125" customWidth="1"/>
  </cols>
  <sheetData>
    <row r="1" spans="1:9" x14ac:dyDescent="0.35">
      <c r="A1" s="14" t="s">
        <v>0</v>
      </c>
      <c r="B1" s="14" t="s">
        <v>1</v>
      </c>
      <c r="C1" s="14" t="s">
        <v>5</v>
      </c>
      <c r="D1" s="63" t="s">
        <v>2</v>
      </c>
      <c r="E1" s="64"/>
      <c r="F1" s="63" t="s">
        <v>3</v>
      </c>
      <c r="G1" s="64"/>
      <c r="H1" s="63" t="s">
        <v>4</v>
      </c>
      <c r="I1" s="64"/>
    </row>
    <row r="2" spans="1:9" x14ac:dyDescent="0.35">
      <c r="A2" s="59">
        <v>1</v>
      </c>
      <c r="B2" s="59">
        <v>43</v>
      </c>
      <c r="C2" s="59">
        <v>0</v>
      </c>
      <c r="D2" s="12" t="s">
        <v>37</v>
      </c>
      <c r="E2" s="34">
        <v>1</v>
      </c>
      <c r="F2" s="17" t="s">
        <v>108</v>
      </c>
      <c r="G2" s="34">
        <v>1</v>
      </c>
      <c r="H2" s="28" t="s">
        <v>122</v>
      </c>
      <c r="I2" s="35">
        <v>21</v>
      </c>
    </row>
    <row r="3" spans="1:9" x14ac:dyDescent="0.35">
      <c r="A3" s="60"/>
      <c r="B3" s="60"/>
      <c r="C3" s="60"/>
      <c r="D3" s="12" t="s">
        <v>7</v>
      </c>
      <c r="E3" s="35">
        <v>10</v>
      </c>
      <c r="F3" s="17" t="s">
        <v>144</v>
      </c>
      <c r="G3" s="35">
        <v>1</v>
      </c>
      <c r="H3" s="28" t="s">
        <v>145</v>
      </c>
      <c r="I3" s="35">
        <v>22</v>
      </c>
    </row>
    <row r="4" spans="1:9" x14ac:dyDescent="0.35">
      <c r="A4" s="60"/>
      <c r="B4" s="60"/>
      <c r="C4" s="60"/>
      <c r="D4" s="12" t="s">
        <v>8</v>
      </c>
      <c r="E4" s="35">
        <v>1</v>
      </c>
      <c r="F4" s="7" t="s">
        <v>27</v>
      </c>
      <c r="G4" s="36">
        <v>2</v>
      </c>
      <c r="H4" s="31"/>
      <c r="I4" s="35"/>
    </row>
    <row r="5" spans="1:9" x14ac:dyDescent="0.35">
      <c r="A5" s="60"/>
      <c r="B5" s="60"/>
      <c r="C5" s="60"/>
      <c r="D5" s="12" t="s">
        <v>9</v>
      </c>
      <c r="E5" s="35">
        <v>3</v>
      </c>
      <c r="F5" s="7" t="s">
        <v>40</v>
      </c>
      <c r="G5" s="36">
        <v>2</v>
      </c>
      <c r="H5" s="31"/>
      <c r="I5" s="35"/>
    </row>
    <row r="6" spans="1:9" x14ac:dyDescent="0.35">
      <c r="A6" s="60"/>
      <c r="B6" s="60"/>
      <c r="C6" s="60"/>
      <c r="D6" s="12" t="s">
        <v>10</v>
      </c>
      <c r="E6" s="35">
        <v>9</v>
      </c>
      <c r="F6" s="17"/>
      <c r="G6" s="35"/>
      <c r="H6" s="31"/>
      <c r="I6" s="35"/>
    </row>
    <row r="7" spans="1:9" x14ac:dyDescent="0.35">
      <c r="A7" s="60"/>
      <c r="B7" s="60"/>
      <c r="C7" s="60"/>
      <c r="D7" s="12" t="s">
        <v>11</v>
      </c>
      <c r="E7" s="35">
        <v>16</v>
      </c>
      <c r="F7" s="17"/>
      <c r="G7" s="35"/>
      <c r="H7" s="31"/>
      <c r="I7" s="35"/>
    </row>
    <row r="8" spans="1:9" x14ac:dyDescent="0.35">
      <c r="A8" s="60"/>
      <c r="B8" s="60"/>
      <c r="C8" s="60"/>
      <c r="D8" s="12" t="s">
        <v>20</v>
      </c>
      <c r="E8" s="35">
        <v>1</v>
      </c>
      <c r="F8" s="17"/>
      <c r="G8" s="35"/>
      <c r="H8" s="31"/>
      <c r="I8" s="35"/>
    </row>
    <row r="9" spans="1:9" x14ac:dyDescent="0.35">
      <c r="A9" s="61"/>
      <c r="B9" s="61"/>
      <c r="C9" s="61"/>
      <c r="D9" s="13" t="s">
        <v>12</v>
      </c>
      <c r="E9" s="13">
        <f>SUM(E2:E8)</f>
        <v>41</v>
      </c>
      <c r="F9" s="20"/>
      <c r="G9" s="37"/>
      <c r="H9" s="4"/>
      <c r="I9" s="37"/>
    </row>
    <row r="10" spans="1:9" x14ac:dyDescent="0.35">
      <c r="A10" s="59">
        <v>2</v>
      </c>
      <c r="B10" s="59">
        <v>44</v>
      </c>
      <c r="C10" s="59">
        <v>0</v>
      </c>
      <c r="D10" s="12" t="s">
        <v>18</v>
      </c>
      <c r="E10" s="35">
        <v>1</v>
      </c>
      <c r="F10" s="17" t="s">
        <v>142</v>
      </c>
      <c r="G10" s="35">
        <v>2</v>
      </c>
      <c r="H10" s="28" t="s">
        <v>122</v>
      </c>
      <c r="I10" s="35">
        <v>43</v>
      </c>
    </row>
    <row r="11" spans="1:9" x14ac:dyDescent="0.35">
      <c r="A11" s="60"/>
      <c r="B11" s="60"/>
      <c r="C11" s="60"/>
      <c r="D11" s="12" t="s">
        <v>9</v>
      </c>
      <c r="E11" s="35">
        <v>8</v>
      </c>
      <c r="F11" s="17" t="s">
        <v>143</v>
      </c>
      <c r="G11" s="35">
        <v>1</v>
      </c>
      <c r="H11" s="28" t="s">
        <v>140</v>
      </c>
      <c r="I11" s="35">
        <v>1</v>
      </c>
    </row>
    <row r="12" spans="1:9" x14ac:dyDescent="0.35">
      <c r="A12" s="60"/>
      <c r="B12" s="60"/>
      <c r="C12" s="60"/>
      <c r="D12" s="12" t="s">
        <v>10</v>
      </c>
      <c r="E12" s="35">
        <v>4</v>
      </c>
      <c r="F12" s="18" t="s">
        <v>27</v>
      </c>
      <c r="G12" s="36">
        <v>3</v>
      </c>
      <c r="H12" s="31"/>
      <c r="I12" s="35"/>
    </row>
    <row r="13" spans="1:9" x14ac:dyDescent="0.35">
      <c r="A13" s="60"/>
      <c r="B13" s="60"/>
      <c r="C13" s="60"/>
      <c r="D13" s="12" t="s">
        <v>11</v>
      </c>
      <c r="E13" s="35">
        <v>26</v>
      </c>
      <c r="F13" s="18" t="s">
        <v>40</v>
      </c>
      <c r="G13" s="36">
        <v>3</v>
      </c>
      <c r="H13" s="31"/>
      <c r="I13" s="35"/>
    </row>
    <row r="14" spans="1:9" x14ac:dyDescent="0.35">
      <c r="A14" s="60"/>
      <c r="B14" s="60"/>
      <c r="C14" s="60"/>
      <c r="D14" s="12" t="s">
        <v>20</v>
      </c>
      <c r="E14" s="35">
        <v>1</v>
      </c>
      <c r="F14" s="18"/>
      <c r="G14" s="36"/>
      <c r="H14" s="31"/>
      <c r="I14" s="35"/>
    </row>
    <row r="15" spans="1:9" x14ac:dyDescent="0.35">
      <c r="A15" s="60"/>
      <c r="B15" s="60"/>
      <c r="C15" s="60"/>
      <c r="D15" s="12" t="s">
        <v>123</v>
      </c>
      <c r="E15" s="35">
        <v>1</v>
      </c>
      <c r="F15" s="17"/>
      <c r="G15" s="35"/>
      <c r="H15" s="31"/>
      <c r="I15" s="35"/>
    </row>
    <row r="16" spans="1:9" x14ac:dyDescent="0.35">
      <c r="A16" s="61"/>
      <c r="B16" s="61"/>
      <c r="C16" s="61"/>
      <c r="D16" s="13" t="s">
        <v>12</v>
      </c>
      <c r="E16" s="13">
        <f>SUM(E10:E15)</f>
        <v>41</v>
      </c>
      <c r="F16" s="20"/>
      <c r="G16" s="37"/>
      <c r="H16" s="4"/>
      <c r="I16" s="37"/>
    </row>
    <row r="17" spans="1:10" x14ac:dyDescent="0.35">
      <c r="A17" s="59">
        <v>3</v>
      </c>
      <c r="B17" s="59">
        <v>43</v>
      </c>
      <c r="C17" s="59">
        <v>0</v>
      </c>
      <c r="D17" s="12" t="s">
        <v>18</v>
      </c>
      <c r="E17" s="35">
        <v>1</v>
      </c>
      <c r="F17" s="17" t="s">
        <v>108</v>
      </c>
      <c r="G17" s="35">
        <v>1</v>
      </c>
      <c r="H17" s="3" t="s">
        <v>106</v>
      </c>
      <c r="I17" s="35">
        <v>19</v>
      </c>
    </row>
    <row r="18" spans="1:10" x14ac:dyDescent="0.35">
      <c r="A18" s="60"/>
      <c r="B18" s="60"/>
      <c r="C18" s="60"/>
      <c r="D18" s="12" t="s">
        <v>36</v>
      </c>
      <c r="E18" s="35">
        <v>1</v>
      </c>
      <c r="F18" s="18" t="s">
        <v>12</v>
      </c>
      <c r="G18" s="36">
        <v>1</v>
      </c>
      <c r="H18" s="3" t="s">
        <v>122</v>
      </c>
      <c r="I18" s="35">
        <v>21</v>
      </c>
    </row>
    <row r="19" spans="1:10" x14ac:dyDescent="0.35">
      <c r="A19" s="60"/>
      <c r="B19" s="60"/>
      <c r="C19" s="60"/>
      <c r="D19" s="12" t="s">
        <v>37</v>
      </c>
      <c r="E19" s="35">
        <v>1</v>
      </c>
      <c r="F19" s="18" t="s">
        <v>40</v>
      </c>
      <c r="G19" s="36">
        <v>1</v>
      </c>
      <c r="H19" s="28" t="s">
        <v>124</v>
      </c>
      <c r="I19" s="35">
        <v>3</v>
      </c>
    </row>
    <row r="20" spans="1:10" x14ac:dyDescent="0.35">
      <c r="A20" s="60"/>
      <c r="B20" s="60"/>
      <c r="C20" s="60"/>
      <c r="D20" s="12" t="s">
        <v>6</v>
      </c>
      <c r="E20" s="35">
        <v>1</v>
      </c>
      <c r="G20" s="35"/>
      <c r="H20" s="31"/>
      <c r="I20" s="35"/>
    </row>
    <row r="21" spans="1:10" x14ac:dyDescent="0.35">
      <c r="A21" s="60"/>
      <c r="B21" s="60"/>
      <c r="C21" s="60"/>
      <c r="D21" s="12" t="s">
        <v>7</v>
      </c>
      <c r="E21" s="35">
        <v>8</v>
      </c>
      <c r="G21" s="35"/>
      <c r="H21" s="31"/>
      <c r="I21" s="35"/>
    </row>
    <row r="22" spans="1:10" x14ac:dyDescent="0.35">
      <c r="A22" s="60"/>
      <c r="B22" s="60"/>
      <c r="C22" s="60"/>
      <c r="D22" s="12" t="s">
        <v>8</v>
      </c>
      <c r="E22" s="35">
        <v>4</v>
      </c>
      <c r="G22" s="35"/>
      <c r="H22" s="31"/>
      <c r="I22" s="35"/>
    </row>
    <row r="23" spans="1:10" x14ac:dyDescent="0.35">
      <c r="A23" s="60"/>
      <c r="B23" s="60"/>
      <c r="C23" s="60"/>
      <c r="D23" s="12" t="s">
        <v>9</v>
      </c>
      <c r="E23" s="35">
        <v>2</v>
      </c>
      <c r="G23" s="35"/>
      <c r="H23" s="31"/>
      <c r="I23" s="35"/>
    </row>
    <row r="24" spans="1:10" x14ac:dyDescent="0.35">
      <c r="A24" s="60"/>
      <c r="B24" s="60"/>
      <c r="C24" s="60"/>
      <c r="D24" s="12" t="s">
        <v>10</v>
      </c>
      <c r="E24" s="35">
        <v>2</v>
      </c>
      <c r="G24" s="35"/>
      <c r="H24" s="31"/>
      <c r="I24" s="35"/>
    </row>
    <row r="25" spans="1:10" x14ac:dyDescent="0.35">
      <c r="A25" s="60"/>
      <c r="B25" s="60"/>
      <c r="C25" s="60"/>
      <c r="D25" s="12" t="s">
        <v>11</v>
      </c>
      <c r="E25" s="35">
        <v>18</v>
      </c>
      <c r="G25" s="35"/>
      <c r="H25" s="31"/>
      <c r="I25" s="35"/>
    </row>
    <row r="26" spans="1:10" x14ac:dyDescent="0.35">
      <c r="A26" s="60"/>
      <c r="B26" s="60"/>
      <c r="C26" s="60"/>
      <c r="D26" s="12" t="s">
        <v>123</v>
      </c>
      <c r="E26" s="35">
        <v>4</v>
      </c>
      <c r="F26" s="17"/>
      <c r="G26" s="35"/>
      <c r="H26" s="31"/>
      <c r="I26" s="35"/>
    </row>
    <row r="27" spans="1:10" x14ac:dyDescent="0.35">
      <c r="A27" s="60"/>
      <c r="B27" s="60"/>
      <c r="C27" s="60"/>
      <c r="D27" s="13" t="s">
        <v>12</v>
      </c>
      <c r="E27" s="38">
        <f>SUM(E17:E26)</f>
        <v>42</v>
      </c>
      <c r="F27" s="48"/>
      <c r="G27" s="37"/>
      <c r="H27" s="4"/>
      <c r="I27" s="37"/>
    </row>
    <row r="28" spans="1:10" x14ac:dyDescent="0.35">
      <c r="A28" s="59">
        <v>4</v>
      </c>
      <c r="B28" s="59">
        <v>43</v>
      </c>
      <c r="C28" s="59">
        <v>0</v>
      </c>
      <c r="D28" s="12" t="s">
        <v>9</v>
      </c>
      <c r="E28" s="35">
        <v>6</v>
      </c>
      <c r="F28" t="s">
        <v>125</v>
      </c>
      <c r="G28" s="35">
        <v>1</v>
      </c>
      <c r="H28" s="3" t="s">
        <v>122</v>
      </c>
      <c r="I28" s="42">
        <v>43</v>
      </c>
    </row>
    <row r="29" spans="1:10" x14ac:dyDescent="0.35">
      <c r="A29" s="60"/>
      <c r="B29" s="60"/>
      <c r="C29" s="60"/>
      <c r="D29" s="12" t="s">
        <v>10</v>
      </c>
      <c r="E29" s="35">
        <v>4</v>
      </c>
      <c r="F29" s="18" t="s">
        <v>12</v>
      </c>
      <c r="G29" s="36">
        <v>1</v>
      </c>
      <c r="I29" s="3"/>
      <c r="J29" s="3"/>
    </row>
    <row r="30" spans="1:10" x14ac:dyDescent="0.35">
      <c r="A30" s="60"/>
      <c r="B30" s="60"/>
      <c r="C30" s="60"/>
      <c r="D30" s="12" t="s">
        <v>11</v>
      </c>
      <c r="E30" s="35">
        <v>31</v>
      </c>
      <c r="F30" s="18" t="s">
        <v>40</v>
      </c>
      <c r="G30" s="36">
        <v>1</v>
      </c>
      <c r="H30" s="3"/>
      <c r="I30" s="42"/>
    </row>
    <row r="31" spans="1:10" x14ac:dyDescent="0.35">
      <c r="A31" s="60"/>
      <c r="B31" s="60"/>
      <c r="C31" s="60"/>
      <c r="D31" s="12" t="s">
        <v>123</v>
      </c>
      <c r="E31" s="35">
        <v>1</v>
      </c>
      <c r="F31" s="11"/>
      <c r="G31" s="36"/>
      <c r="H31" s="3"/>
      <c r="I31" s="42"/>
    </row>
    <row r="32" spans="1:10" x14ac:dyDescent="0.35">
      <c r="A32" s="60"/>
      <c r="B32" s="60"/>
      <c r="C32" s="60"/>
      <c r="D32" s="13" t="s">
        <v>12</v>
      </c>
      <c r="E32" s="38">
        <f>SUM(E28:E31)</f>
        <v>42</v>
      </c>
      <c r="F32" s="51"/>
      <c r="G32" s="37"/>
      <c r="H32" s="2"/>
      <c r="I32" s="44"/>
    </row>
    <row r="33" spans="1:9" x14ac:dyDescent="0.35">
      <c r="A33" s="59">
        <v>5</v>
      </c>
      <c r="B33" s="59">
        <v>43</v>
      </c>
      <c r="C33" s="59">
        <v>0</v>
      </c>
      <c r="D33" s="12" t="s">
        <v>58</v>
      </c>
      <c r="E33" s="35">
        <v>1</v>
      </c>
      <c r="F33" s="53" t="s">
        <v>126</v>
      </c>
      <c r="G33" s="35">
        <v>1</v>
      </c>
      <c r="H33" s="3" t="s">
        <v>106</v>
      </c>
      <c r="I33" s="42">
        <v>40</v>
      </c>
    </row>
    <row r="34" spans="1:9" x14ac:dyDescent="0.35">
      <c r="A34" s="60"/>
      <c r="B34" s="60"/>
      <c r="C34" s="60"/>
      <c r="D34" s="12" t="s">
        <v>18</v>
      </c>
      <c r="E34" s="35">
        <v>4</v>
      </c>
      <c r="F34" s="3" t="s">
        <v>127</v>
      </c>
      <c r="G34" s="35">
        <v>1</v>
      </c>
      <c r="H34" s="3" t="s">
        <v>130</v>
      </c>
      <c r="I34" s="42">
        <v>2</v>
      </c>
    </row>
    <row r="35" spans="1:9" x14ac:dyDescent="0.35">
      <c r="A35" s="60"/>
      <c r="B35" s="60"/>
      <c r="C35" s="60"/>
      <c r="D35" s="12" t="s">
        <v>32</v>
      </c>
      <c r="E35" s="35">
        <v>2</v>
      </c>
      <c r="F35" t="s">
        <v>22</v>
      </c>
      <c r="G35" s="35">
        <v>1</v>
      </c>
      <c r="H35" s="3" t="s">
        <v>131</v>
      </c>
      <c r="I35" s="42">
        <v>1</v>
      </c>
    </row>
    <row r="36" spans="1:9" x14ac:dyDescent="0.35">
      <c r="A36" s="60"/>
      <c r="B36" s="60"/>
      <c r="C36" s="60"/>
      <c r="D36" s="12" t="s">
        <v>6</v>
      </c>
      <c r="E36" s="35">
        <v>6</v>
      </c>
      <c r="F36" s="6" t="s">
        <v>128</v>
      </c>
      <c r="G36" s="35">
        <v>2</v>
      </c>
      <c r="H36" s="3"/>
      <c r="I36" s="42"/>
    </row>
    <row r="37" spans="1:9" x14ac:dyDescent="0.35">
      <c r="A37" s="60"/>
      <c r="B37" s="60"/>
      <c r="C37" s="60"/>
      <c r="D37" s="12" t="s">
        <v>7</v>
      </c>
      <c r="E37" s="35">
        <v>12</v>
      </c>
      <c r="F37" s="8" t="s">
        <v>129</v>
      </c>
      <c r="G37" s="36">
        <v>5</v>
      </c>
      <c r="H37" s="3"/>
      <c r="I37" s="42"/>
    </row>
    <row r="38" spans="1:9" x14ac:dyDescent="0.35">
      <c r="A38" s="60"/>
      <c r="B38" s="60"/>
      <c r="C38" s="60"/>
      <c r="D38" s="12" t="s">
        <v>8</v>
      </c>
      <c r="E38" s="35">
        <v>7</v>
      </c>
      <c r="F38" s="8" t="s">
        <v>40</v>
      </c>
      <c r="G38" s="36">
        <v>2</v>
      </c>
      <c r="H38" s="3"/>
      <c r="I38" s="42"/>
    </row>
    <row r="39" spans="1:9" x14ac:dyDescent="0.35">
      <c r="A39" s="60"/>
      <c r="B39" s="60"/>
      <c r="C39" s="62"/>
      <c r="D39" s="35" t="s">
        <v>9</v>
      </c>
      <c r="E39" s="31">
        <v>2</v>
      </c>
      <c r="F39" s="42"/>
      <c r="G39" s="35"/>
      <c r="H39" s="3"/>
      <c r="I39" s="42"/>
    </row>
    <row r="40" spans="1:9" x14ac:dyDescent="0.35">
      <c r="A40" s="60"/>
      <c r="B40" s="60"/>
      <c r="C40" s="62"/>
      <c r="D40" s="35" t="s">
        <v>10</v>
      </c>
      <c r="E40" s="31">
        <v>4</v>
      </c>
      <c r="F40" s="42"/>
      <c r="G40" s="35"/>
      <c r="H40" s="3"/>
      <c r="I40" s="42"/>
    </row>
    <row r="41" spans="1:9" x14ac:dyDescent="0.35">
      <c r="A41" s="60"/>
      <c r="B41" s="60"/>
      <c r="C41" s="62"/>
      <c r="D41" s="52" t="s">
        <v>11</v>
      </c>
      <c r="E41" s="30">
        <v>3</v>
      </c>
      <c r="F41" s="42"/>
      <c r="G41" s="35"/>
      <c r="H41" s="3"/>
      <c r="I41" s="42"/>
    </row>
    <row r="42" spans="1:9" x14ac:dyDescent="0.35">
      <c r="A42" s="61"/>
      <c r="B42" s="61"/>
      <c r="C42" s="61"/>
      <c r="D42" s="13" t="s">
        <v>12</v>
      </c>
      <c r="E42" s="38">
        <f>SUM(E33:E41)</f>
        <v>41</v>
      </c>
      <c r="F42" s="2"/>
      <c r="G42" s="37"/>
      <c r="H42" s="2"/>
      <c r="I42" s="44"/>
    </row>
    <row r="43" spans="1:9" x14ac:dyDescent="0.35">
      <c r="A43" s="59">
        <v>6</v>
      </c>
      <c r="B43" s="59">
        <v>35</v>
      </c>
      <c r="C43" s="59">
        <v>1</v>
      </c>
      <c r="D43" s="46" t="s">
        <v>18</v>
      </c>
      <c r="E43" s="34">
        <v>9</v>
      </c>
      <c r="F43" s="27" t="s">
        <v>138</v>
      </c>
      <c r="G43" s="34">
        <v>1</v>
      </c>
      <c r="H43" s="3" t="s">
        <v>106</v>
      </c>
      <c r="I43" s="42">
        <v>25</v>
      </c>
    </row>
    <row r="44" spans="1:9" x14ac:dyDescent="0.35">
      <c r="A44" s="60"/>
      <c r="B44" s="60"/>
      <c r="C44" s="60"/>
      <c r="D44" s="12" t="s">
        <v>36</v>
      </c>
      <c r="E44" s="35">
        <v>1</v>
      </c>
      <c r="F44" t="s">
        <v>59</v>
      </c>
      <c r="G44" s="35">
        <v>1</v>
      </c>
      <c r="H44" s="3" t="s">
        <v>105</v>
      </c>
      <c r="I44" s="42">
        <v>1</v>
      </c>
    </row>
    <row r="45" spans="1:9" x14ac:dyDescent="0.35">
      <c r="A45" s="60"/>
      <c r="B45" s="60"/>
      <c r="C45" s="60"/>
      <c r="D45" s="12" t="s">
        <v>7</v>
      </c>
      <c r="E45" s="35">
        <v>11</v>
      </c>
      <c r="F45" s="6" t="s">
        <v>128</v>
      </c>
      <c r="G45" s="35">
        <v>7</v>
      </c>
      <c r="H45" s="3" t="s">
        <v>131</v>
      </c>
      <c r="I45" s="42">
        <v>6</v>
      </c>
    </row>
    <row r="46" spans="1:9" x14ac:dyDescent="0.35">
      <c r="A46" s="60"/>
      <c r="B46" s="60"/>
      <c r="C46" s="60"/>
      <c r="D46" s="12" t="s">
        <v>8</v>
      </c>
      <c r="E46" s="35">
        <v>7</v>
      </c>
      <c r="F46" s="8" t="s">
        <v>129</v>
      </c>
      <c r="G46" s="36">
        <v>9</v>
      </c>
      <c r="H46" s="3" t="s">
        <v>133</v>
      </c>
      <c r="I46" s="42">
        <v>2</v>
      </c>
    </row>
    <row r="47" spans="1:9" x14ac:dyDescent="0.35">
      <c r="A47" s="60"/>
      <c r="B47" s="60"/>
      <c r="C47" s="60"/>
      <c r="D47" s="12" t="s">
        <v>9</v>
      </c>
      <c r="E47" s="35">
        <v>2</v>
      </c>
      <c r="F47" s="8" t="s">
        <v>40</v>
      </c>
      <c r="G47" s="36">
        <v>2</v>
      </c>
      <c r="H47" s="3" t="s">
        <v>132</v>
      </c>
      <c r="I47" s="42">
        <v>1</v>
      </c>
    </row>
    <row r="48" spans="1:9" x14ac:dyDescent="0.35">
      <c r="A48" s="60"/>
      <c r="B48" s="60"/>
      <c r="C48" s="60"/>
      <c r="D48" s="12" t="s">
        <v>10</v>
      </c>
      <c r="E48" s="35">
        <v>1</v>
      </c>
      <c r="G48" s="35"/>
      <c r="H48" s="3"/>
      <c r="I48" s="42"/>
    </row>
    <row r="49" spans="1:10" x14ac:dyDescent="0.35">
      <c r="A49" s="60"/>
      <c r="B49" s="60"/>
      <c r="C49" s="60"/>
      <c r="D49" s="12" t="s">
        <v>11</v>
      </c>
      <c r="E49" s="35">
        <v>1</v>
      </c>
      <c r="G49" s="35"/>
      <c r="H49" s="3"/>
      <c r="I49" s="42"/>
    </row>
    <row r="50" spans="1:10" x14ac:dyDescent="0.35">
      <c r="A50" s="60"/>
      <c r="B50" s="60"/>
      <c r="C50" s="60"/>
      <c r="D50" s="12" t="s">
        <v>82</v>
      </c>
      <c r="E50" s="35">
        <v>1</v>
      </c>
      <c r="G50" s="35"/>
      <c r="H50" s="3"/>
      <c r="I50" s="42"/>
    </row>
    <row r="51" spans="1:10" x14ac:dyDescent="0.35">
      <c r="A51" s="61"/>
      <c r="B51" s="61"/>
      <c r="C51" s="61"/>
      <c r="D51" s="13" t="s">
        <v>12</v>
      </c>
      <c r="E51" s="38">
        <f>SUM(E43:E50)</f>
        <v>33</v>
      </c>
      <c r="F51" s="2"/>
      <c r="G51" s="37"/>
      <c r="H51" s="2"/>
      <c r="I51" s="44"/>
    </row>
    <row r="52" spans="1:10" x14ac:dyDescent="0.35">
      <c r="A52" s="59">
        <v>7</v>
      </c>
      <c r="B52" s="59">
        <v>36</v>
      </c>
      <c r="C52" s="59">
        <v>1</v>
      </c>
      <c r="D52" s="46" t="s">
        <v>137</v>
      </c>
      <c r="E52" s="34">
        <v>2</v>
      </c>
      <c r="F52" s="27" t="s">
        <v>138</v>
      </c>
      <c r="G52" s="34">
        <v>6</v>
      </c>
      <c r="H52" s="26" t="s">
        <v>106</v>
      </c>
      <c r="I52" s="45">
        <v>22</v>
      </c>
    </row>
    <row r="53" spans="1:10" x14ac:dyDescent="0.35">
      <c r="A53" s="60"/>
      <c r="B53" s="60"/>
      <c r="C53" s="60"/>
      <c r="D53" s="12" t="s">
        <v>18</v>
      </c>
      <c r="E53" s="35">
        <v>5</v>
      </c>
      <c r="F53" t="s">
        <v>59</v>
      </c>
      <c r="G53" s="35">
        <v>1</v>
      </c>
      <c r="H53" s="3" t="s">
        <v>13</v>
      </c>
      <c r="I53" s="42">
        <v>5</v>
      </c>
    </row>
    <row r="54" spans="1:10" x14ac:dyDescent="0.35">
      <c r="A54" s="60"/>
      <c r="B54" s="60"/>
      <c r="C54" s="60"/>
      <c r="D54" s="12" t="s">
        <v>36</v>
      </c>
      <c r="E54" s="35">
        <v>1</v>
      </c>
      <c r="F54" s="6" t="s">
        <v>139</v>
      </c>
      <c r="G54" s="35">
        <v>1</v>
      </c>
      <c r="H54" s="3" t="s">
        <v>140</v>
      </c>
      <c r="I54" s="42">
        <v>1</v>
      </c>
    </row>
    <row r="55" spans="1:10" x14ac:dyDescent="0.35">
      <c r="A55" s="60"/>
      <c r="B55" s="60"/>
      <c r="C55" s="60"/>
      <c r="D55" s="12" t="s">
        <v>7</v>
      </c>
      <c r="E55" s="35">
        <v>10</v>
      </c>
      <c r="F55" s="8" t="s">
        <v>129</v>
      </c>
      <c r="G55" s="36">
        <v>8</v>
      </c>
      <c r="H55" s="3" t="s">
        <v>132</v>
      </c>
      <c r="I55" s="42">
        <v>8</v>
      </c>
    </row>
    <row r="56" spans="1:10" x14ac:dyDescent="0.35">
      <c r="A56" s="60"/>
      <c r="B56" s="60"/>
      <c r="C56" s="60"/>
      <c r="D56" s="12" t="s">
        <v>8</v>
      </c>
      <c r="E56" s="35">
        <v>8</v>
      </c>
      <c r="F56" s="8" t="s">
        <v>40</v>
      </c>
      <c r="G56" s="36">
        <v>8</v>
      </c>
      <c r="H56" s="42"/>
      <c r="I56" s="42"/>
    </row>
    <row r="57" spans="1:10" x14ac:dyDescent="0.35">
      <c r="A57" s="60"/>
      <c r="B57" s="60"/>
      <c r="C57" s="60"/>
      <c r="D57" s="12" t="s">
        <v>9</v>
      </c>
      <c r="E57" s="35">
        <v>2</v>
      </c>
      <c r="G57" s="35"/>
      <c r="H57" s="3"/>
      <c r="I57" s="42"/>
    </row>
    <row r="58" spans="1:10" x14ac:dyDescent="0.35">
      <c r="A58" s="61"/>
      <c r="B58" s="61"/>
      <c r="C58" s="61"/>
      <c r="D58" s="13" t="s">
        <v>12</v>
      </c>
      <c r="E58" s="38">
        <f>SUM(E52:E57)</f>
        <v>28</v>
      </c>
      <c r="F58" s="1"/>
      <c r="G58" s="37"/>
      <c r="H58" s="2"/>
      <c r="I58" s="44"/>
    </row>
    <row r="59" spans="1:10" x14ac:dyDescent="0.35">
      <c r="A59" s="59">
        <v>8</v>
      </c>
      <c r="B59" s="59">
        <v>35</v>
      </c>
      <c r="C59" s="59">
        <v>0</v>
      </c>
      <c r="D59" s="46" t="s">
        <v>18</v>
      </c>
      <c r="E59" s="34">
        <v>2</v>
      </c>
      <c r="F59" s="27" t="s">
        <v>138</v>
      </c>
      <c r="G59" s="34">
        <v>13</v>
      </c>
      <c r="H59" s="26" t="s">
        <v>106</v>
      </c>
      <c r="I59" s="45">
        <v>20</v>
      </c>
    </row>
    <row r="60" spans="1:10" x14ac:dyDescent="0.35">
      <c r="A60" s="60"/>
      <c r="B60" s="60"/>
      <c r="C60" s="60"/>
      <c r="D60" s="12" t="s">
        <v>19</v>
      </c>
      <c r="E60" s="35">
        <v>1</v>
      </c>
      <c r="F60" t="s">
        <v>141</v>
      </c>
      <c r="G60" s="35">
        <v>1</v>
      </c>
      <c r="H60" s="3" t="s">
        <v>132</v>
      </c>
      <c r="I60" s="42">
        <v>15</v>
      </c>
    </row>
    <row r="61" spans="1:10" x14ac:dyDescent="0.35">
      <c r="A61" s="60"/>
      <c r="B61" s="60"/>
      <c r="C61" s="60"/>
      <c r="D61" s="12" t="s">
        <v>6</v>
      </c>
      <c r="E61" s="35">
        <v>1</v>
      </c>
      <c r="F61" s="8" t="s">
        <v>129</v>
      </c>
      <c r="G61" s="36">
        <v>14</v>
      </c>
      <c r="H61" s="3"/>
      <c r="I61" s="42"/>
    </row>
    <row r="62" spans="1:10" x14ac:dyDescent="0.35">
      <c r="A62" s="60"/>
      <c r="B62" s="60"/>
      <c r="C62" s="60"/>
      <c r="D62" s="12" t="s">
        <v>7</v>
      </c>
      <c r="E62" s="35">
        <v>16</v>
      </c>
      <c r="F62" s="8" t="s">
        <v>40</v>
      </c>
      <c r="G62" s="36">
        <v>14</v>
      </c>
      <c r="I62" s="3"/>
      <c r="J62" s="3"/>
    </row>
    <row r="63" spans="1:10" x14ac:dyDescent="0.35">
      <c r="A63" s="60"/>
      <c r="B63" s="60"/>
      <c r="C63" s="60"/>
      <c r="D63" s="12" t="s">
        <v>11</v>
      </c>
      <c r="E63" s="35">
        <v>1</v>
      </c>
      <c r="G63" s="35"/>
      <c r="H63" s="42"/>
      <c r="I63" s="42"/>
    </row>
    <row r="64" spans="1:10" x14ac:dyDescent="0.35">
      <c r="A64" s="61"/>
      <c r="B64" s="61"/>
      <c r="C64" s="61"/>
      <c r="D64" s="13" t="s">
        <v>12</v>
      </c>
      <c r="E64" s="38">
        <f>SUM(E59:E63)</f>
        <v>21</v>
      </c>
      <c r="F64" s="1"/>
      <c r="G64" s="37"/>
      <c r="H64" s="2"/>
      <c r="I64" s="44"/>
    </row>
    <row r="65" spans="1:2" x14ac:dyDescent="0.35">
      <c r="A65" s="7" t="s">
        <v>12</v>
      </c>
      <c r="B65" s="7">
        <f>SUM(B2:B58)</f>
        <v>287</v>
      </c>
    </row>
  </sheetData>
  <mergeCells count="27">
    <mergeCell ref="A52:A58"/>
    <mergeCell ref="B52:B58"/>
    <mergeCell ref="C52:C58"/>
    <mergeCell ref="A43:A51"/>
    <mergeCell ref="B43:B51"/>
    <mergeCell ref="C43:C51"/>
    <mergeCell ref="B17:B27"/>
    <mergeCell ref="C17:C27"/>
    <mergeCell ref="A33:A42"/>
    <mergeCell ref="B33:B42"/>
    <mergeCell ref="C33:C42"/>
    <mergeCell ref="A59:A64"/>
    <mergeCell ref="B59:B64"/>
    <mergeCell ref="C59:C64"/>
    <mergeCell ref="H1:I1"/>
    <mergeCell ref="A2:A9"/>
    <mergeCell ref="B2:B9"/>
    <mergeCell ref="C2:C9"/>
    <mergeCell ref="A10:A16"/>
    <mergeCell ref="B10:B16"/>
    <mergeCell ref="C10:C16"/>
    <mergeCell ref="D1:E1"/>
    <mergeCell ref="F1:G1"/>
    <mergeCell ref="A28:A32"/>
    <mergeCell ref="B28:B32"/>
    <mergeCell ref="C28:C32"/>
    <mergeCell ref="A17:A27"/>
  </mergeCells>
  <pageMargins left="0.7" right="0.7" top="0.75" bottom="0.75" header="0.3" footer="0.3"/>
  <pageSetup paperSize="9" scale="76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C0FF-89A5-4B47-92D1-1F2B1DD09001}">
  <dimension ref="A1:J62"/>
  <sheetViews>
    <sheetView topLeftCell="A37" zoomScale="46" zoomScaleNormal="46" zoomScalePageLayoutView="59" workbookViewId="0">
      <selection activeCell="F44" sqref="F44"/>
    </sheetView>
  </sheetViews>
  <sheetFormatPr defaultRowHeight="14.5" x14ac:dyDescent="0.35"/>
  <cols>
    <col min="1" max="1" width="5.54296875" customWidth="1"/>
    <col min="2" max="2" width="8.7265625" customWidth="1"/>
    <col min="3" max="3" width="9.90625" customWidth="1"/>
    <col min="4" max="4" width="8.1796875" style="12" customWidth="1"/>
    <col min="5" max="5" width="6.7265625" style="12" customWidth="1"/>
    <col min="6" max="6" width="35.1796875" customWidth="1"/>
    <col min="7" max="7" width="8.7265625" style="12"/>
    <col min="8" max="8" width="21.08984375" customWidth="1"/>
    <col min="9" max="9" width="3.453125" customWidth="1"/>
  </cols>
  <sheetData>
    <row r="1" spans="1:9" x14ac:dyDescent="0.35">
      <c r="A1" s="14" t="s">
        <v>0</v>
      </c>
      <c r="B1" s="14" t="s">
        <v>1</v>
      </c>
      <c r="C1" s="14" t="s">
        <v>5</v>
      </c>
      <c r="D1" s="63" t="s">
        <v>2</v>
      </c>
      <c r="E1" s="64"/>
      <c r="F1" s="63" t="s">
        <v>3</v>
      </c>
      <c r="G1" s="64"/>
      <c r="H1" s="63" t="s">
        <v>4</v>
      </c>
      <c r="I1" s="64"/>
    </row>
    <row r="2" spans="1:9" x14ac:dyDescent="0.35">
      <c r="A2" s="59">
        <v>1</v>
      </c>
      <c r="B2" s="59">
        <v>48</v>
      </c>
      <c r="C2" s="59">
        <v>0</v>
      </c>
      <c r="D2" s="12" t="s">
        <v>7</v>
      </c>
      <c r="E2" s="35">
        <v>11</v>
      </c>
      <c r="F2" s="18" t="s">
        <v>26</v>
      </c>
      <c r="G2" s="36">
        <v>0</v>
      </c>
      <c r="H2" s="28" t="s">
        <v>99</v>
      </c>
      <c r="I2" s="35">
        <v>45</v>
      </c>
    </row>
    <row r="3" spans="1:9" x14ac:dyDescent="0.35">
      <c r="A3" s="60"/>
      <c r="B3" s="60"/>
      <c r="C3" s="60"/>
      <c r="D3" s="12" t="s">
        <v>8</v>
      </c>
      <c r="E3" s="35">
        <v>33</v>
      </c>
      <c r="F3" s="17"/>
      <c r="G3" s="35"/>
      <c r="H3" s="28" t="s">
        <v>102</v>
      </c>
      <c r="I3" s="35">
        <v>3</v>
      </c>
    </row>
    <row r="4" spans="1:9" x14ac:dyDescent="0.35">
      <c r="A4" s="60"/>
      <c r="B4" s="60"/>
      <c r="C4" s="60"/>
      <c r="D4" s="12" t="s">
        <v>9</v>
      </c>
      <c r="E4" s="35">
        <v>4</v>
      </c>
      <c r="F4" s="18"/>
      <c r="G4" s="36"/>
      <c r="H4" s="31"/>
      <c r="I4" s="35"/>
    </row>
    <row r="5" spans="1:9" x14ac:dyDescent="0.35">
      <c r="A5" s="60"/>
      <c r="B5" s="60"/>
      <c r="C5" s="60"/>
      <c r="D5" s="13" t="s">
        <v>12</v>
      </c>
      <c r="E5" s="38">
        <f>SUM(E2:E4)</f>
        <v>48</v>
      </c>
      <c r="F5" s="19"/>
      <c r="G5" s="37"/>
      <c r="H5" s="4"/>
      <c r="I5" s="37"/>
    </row>
    <row r="6" spans="1:9" x14ac:dyDescent="0.35">
      <c r="A6" s="59">
        <v>2</v>
      </c>
      <c r="B6" s="59">
        <v>48</v>
      </c>
      <c r="C6" s="59">
        <v>0</v>
      </c>
      <c r="D6" s="12" t="s">
        <v>7</v>
      </c>
      <c r="E6" s="35">
        <v>7</v>
      </c>
      <c r="F6" s="18" t="s">
        <v>26</v>
      </c>
      <c r="G6" s="36">
        <v>0</v>
      </c>
      <c r="H6" s="28" t="s">
        <v>99</v>
      </c>
      <c r="I6" s="35">
        <v>48</v>
      </c>
    </row>
    <row r="7" spans="1:9" x14ac:dyDescent="0.35">
      <c r="A7" s="60"/>
      <c r="B7" s="60"/>
      <c r="C7" s="60"/>
      <c r="D7" s="12" t="s">
        <v>8</v>
      </c>
      <c r="E7" s="35">
        <v>38</v>
      </c>
      <c r="F7" s="17"/>
      <c r="G7" s="35"/>
      <c r="H7" s="31"/>
      <c r="I7" s="35"/>
    </row>
    <row r="8" spans="1:9" x14ac:dyDescent="0.35">
      <c r="A8" s="60"/>
      <c r="B8" s="60"/>
      <c r="C8" s="60"/>
      <c r="D8" s="12" t="s">
        <v>9</v>
      </c>
      <c r="E8" s="35">
        <v>3</v>
      </c>
      <c r="F8" s="18"/>
      <c r="G8" s="36"/>
      <c r="H8" s="31"/>
      <c r="I8" s="35"/>
    </row>
    <row r="9" spans="1:9" x14ac:dyDescent="0.35">
      <c r="A9" s="60"/>
      <c r="B9" s="60"/>
      <c r="C9" s="60"/>
      <c r="D9" s="13" t="s">
        <v>12</v>
      </c>
      <c r="E9" s="38">
        <f>SUM(E6:E8)</f>
        <v>48</v>
      </c>
      <c r="F9" s="19"/>
      <c r="G9" s="37"/>
      <c r="H9" s="4"/>
      <c r="I9" s="37"/>
    </row>
    <row r="10" spans="1:9" x14ac:dyDescent="0.35">
      <c r="A10" s="59">
        <v>3</v>
      </c>
      <c r="B10" s="59">
        <v>48</v>
      </c>
      <c r="C10" s="59">
        <v>0</v>
      </c>
      <c r="D10" s="12" t="s">
        <v>7</v>
      </c>
      <c r="E10" s="35">
        <v>15</v>
      </c>
      <c r="F10" s="18" t="s">
        <v>26</v>
      </c>
      <c r="G10" s="36">
        <v>0</v>
      </c>
      <c r="H10" s="28" t="s">
        <v>99</v>
      </c>
      <c r="I10" s="35">
        <v>48</v>
      </c>
    </row>
    <row r="11" spans="1:9" x14ac:dyDescent="0.35">
      <c r="A11" s="60"/>
      <c r="B11" s="60"/>
      <c r="C11" s="60"/>
      <c r="D11" s="12" t="s">
        <v>8</v>
      </c>
      <c r="E11" s="35">
        <v>29</v>
      </c>
      <c r="F11" s="17"/>
      <c r="G11" s="35"/>
      <c r="H11" s="31"/>
      <c r="I11" s="35"/>
    </row>
    <row r="12" spans="1:9" x14ac:dyDescent="0.35">
      <c r="A12" s="60"/>
      <c r="B12" s="60"/>
      <c r="C12" s="60"/>
      <c r="D12" s="12" t="s">
        <v>9</v>
      </c>
      <c r="E12" s="35">
        <v>3</v>
      </c>
      <c r="F12" s="18"/>
      <c r="G12" s="36"/>
      <c r="H12" s="31"/>
      <c r="I12" s="35"/>
    </row>
    <row r="13" spans="1:9" x14ac:dyDescent="0.35">
      <c r="A13" s="60"/>
      <c r="B13" s="60"/>
      <c r="C13" s="60"/>
      <c r="D13" s="12" t="s">
        <v>10</v>
      </c>
      <c r="E13" s="31">
        <v>1</v>
      </c>
      <c r="F13" s="47"/>
      <c r="G13" s="35"/>
      <c r="H13" s="31"/>
      <c r="I13" s="35"/>
    </row>
    <row r="14" spans="1:9" x14ac:dyDescent="0.35">
      <c r="A14" s="60"/>
      <c r="B14" s="60"/>
      <c r="C14" s="60"/>
      <c r="D14" s="13" t="s">
        <v>12</v>
      </c>
      <c r="E14" s="38">
        <f>SUM(E10:E13)</f>
        <v>48</v>
      </c>
      <c r="F14" s="19"/>
      <c r="G14" s="37"/>
      <c r="H14" s="4"/>
      <c r="I14" s="37"/>
    </row>
    <row r="15" spans="1:9" x14ac:dyDescent="0.35">
      <c r="A15" s="59">
        <v>4</v>
      </c>
      <c r="B15" s="59">
        <v>40</v>
      </c>
      <c r="C15" s="59">
        <v>0</v>
      </c>
      <c r="D15" s="12" t="s">
        <v>7</v>
      </c>
      <c r="E15" s="35">
        <v>2</v>
      </c>
      <c r="F15" s="18" t="s">
        <v>26</v>
      </c>
      <c r="G15" s="36">
        <v>0</v>
      </c>
      <c r="H15" s="28" t="s">
        <v>102</v>
      </c>
      <c r="I15" s="35">
        <v>37</v>
      </c>
    </row>
    <row r="16" spans="1:9" x14ac:dyDescent="0.35">
      <c r="A16" s="60"/>
      <c r="B16" s="60"/>
      <c r="C16" s="60"/>
      <c r="D16" s="12" t="s">
        <v>8</v>
      </c>
      <c r="E16" s="35">
        <v>3</v>
      </c>
      <c r="F16" s="17"/>
      <c r="G16" s="35"/>
      <c r="H16" s="31" t="s">
        <v>99</v>
      </c>
      <c r="I16" s="35">
        <v>3</v>
      </c>
    </row>
    <row r="17" spans="1:9" x14ac:dyDescent="0.35">
      <c r="A17" s="60"/>
      <c r="B17" s="60"/>
      <c r="C17" s="60"/>
      <c r="D17" s="12" t="s">
        <v>10</v>
      </c>
      <c r="E17" s="35">
        <v>34</v>
      </c>
      <c r="G17" s="35"/>
      <c r="H17" s="31"/>
      <c r="I17" s="35"/>
    </row>
    <row r="18" spans="1:9" x14ac:dyDescent="0.35">
      <c r="A18" s="60"/>
      <c r="B18" s="60"/>
      <c r="C18" s="60"/>
      <c r="D18" s="12" t="s">
        <v>28</v>
      </c>
      <c r="E18" s="35">
        <v>1</v>
      </c>
      <c r="F18" s="17"/>
      <c r="G18" s="35"/>
      <c r="H18" s="31"/>
      <c r="I18" s="35"/>
    </row>
    <row r="19" spans="1:9" x14ac:dyDescent="0.35">
      <c r="A19" s="60"/>
      <c r="B19" s="60"/>
      <c r="C19" s="62"/>
      <c r="D19" s="13" t="s">
        <v>12</v>
      </c>
      <c r="E19" s="13">
        <f>SUM(E15:E18)</f>
        <v>40</v>
      </c>
      <c r="F19" s="48"/>
      <c r="G19" s="37"/>
      <c r="H19" s="4"/>
      <c r="I19" s="37"/>
    </row>
    <row r="20" spans="1:9" x14ac:dyDescent="0.35">
      <c r="A20" s="59">
        <v>5</v>
      </c>
      <c r="B20" s="59">
        <v>39</v>
      </c>
      <c r="C20" s="59">
        <v>0</v>
      </c>
      <c r="D20" s="12" t="s">
        <v>10</v>
      </c>
      <c r="E20" s="35">
        <v>37</v>
      </c>
      <c r="F20" s="18" t="s">
        <v>40</v>
      </c>
      <c r="G20" s="36">
        <v>0</v>
      </c>
      <c r="H20" s="28" t="s">
        <v>102</v>
      </c>
      <c r="I20" s="35">
        <v>39</v>
      </c>
    </row>
    <row r="21" spans="1:9" x14ac:dyDescent="0.35">
      <c r="A21" s="60"/>
      <c r="B21" s="60"/>
      <c r="C21" s="60"/>
      <c r="D21" s="12" t="s">
        <v>11</v>
      </c>
      <c r="E21" s="35">
        <v>1</v>
      </c>
      <c r="G21" s="35"/>
      <c r="H21" s="31"/>
      <c r="I21" s="35"/>
    </row>
    <row r="22" spans="1:9" x14ac:dyDescent="0.35">
      <c r="A22" s="60"/>
      <c r="B22" s="60"/>
      <c r="C22" s="60"/>
      <c r="D22" s="12" t="s">
        <v>28</v>
      </c>
      <c r="E22" s="35">
        <v>1</v>
      </c>
      <c r="F22" s="17"/>
      <c r="G22" s="35"/>
      <c r="H22" s="31"/>
      <c r="I22" s="35"/>
    </row>
    <row r="23" spans="1:9" x14ac:dyDescent="0.35">
      <c r="A23" s="60"/>
      <c r="B23" s="60"/>
      <c r="C23" s="60"/>
      <c r="D23" s="13" t="s">
        <v>12</v>
      </c>
      <c r="E23" s="38">
        <f>SUM(E20:E22)</f>
        <v>39</v>
      </c>
      <c r="F23" s="19"/>
      <c r="G23" s="37"/>
      <c r="H23" s="4"/>
      <c r="I23" s="37"/>
    </row>
    <row r="24" spans="1:9" x14ac:dyDescent="0.35">
      <c r="A24" s="59">
        <v>6</v>
      </c>
      <c r="B24" s="59">
        <v>45</v>
      </c>
      <c r="C24" s="59">
        <v>0</v>
      </c>
      <c r="D24" s="12" t="s">
        <v>7</v>
      </c>
      <c r="E24" s="35">
        <v>10</v>
      </c>
      <c r="F24" t="s">
        <v>100</v>
      </c>
      <c r="G24" s="35">
        <v>1</v>
      </c>
      <c r="H24" s="3" t="s">
        <v>102</v>
      </c>
      <c r="I24" s="42">
        <v>33</v>
      </c>
    </row>
    <row r="25" spans="1:9" x14ac:dyDescent="0.35">
      <c r="A25" s="60"/>
      <c r="B25" s="60"/>
      <c r="C25" s="60"/>
      <c r="D25" s="12" t="s">
        <v>8</v>
      </c>
      <c r="E25" s="35">
        <v>9</v>
      </c>
      <c r="F25" s="7" t="s">
        <v>27</v>
      </c>
      <c r="G25" s="36">
        <v>1</v>
      </c>
      <c r="H25" s="3" t="s">
        <v>99</v>
      </c>
      <c r="I25" s="42">
        <v>12</v>
      </c>
    </row>
    <row r="26" spans="1:9" x14ac:dyDescent="0.35">
      <c r="A26" s="60"/>
      <c r="B26" s="60"/>
      <c r="C26" s="60"/>
      <c r="D26" s="12" t="s">
        <v>9</v>
      </c>
      <c r="E26" s="35">
        <v>19</v>
      </c>
      <c r="F26" s="43" t="s">
        <v>26</v>
      </c>
      <c r="G26" s="36">
        <v>1</v>
      </c>
      <c r="H26" s="3"/>
      <c r="I26" s="42"/>
    </row>
    <row r="27" spans="1:9" x14ac:dyDescent="0.35">
      <c r="A27" s="60"/>
      <c r="B27" s="60"/>
      <c r="C27" s="60"/>
      <c r="D27" s="12" t="s">
        <v>10</v>
      </c>
      <c r="E27" s="35">
        <v>4</v>
      </c>
      <c r="G27" s="35"/>
      <c r="H27" s="3"/>
      <c r="I27" s="42"/>
    </row>
    <row r="28" spans="1:9" x14ac:dyDescent="0.35">
      <c r="A28" s="60"/>
      <c r="B28" s="60"/>
      <c r="C28" s="62"/>
      <c r="D28" s="31" t="s">
        <v>101</v>
      </c>
      <c r="E28" s="35">
        <v>2</v>
      </c>
      <c r="F28" s="3"/>
      <c r="G28" s="35"/>
      <c r="H28" s="3"/>
      <c r="I28" s="42"/>
    </row>
    <row r="29" spans="1:9" x14ac:dyDescent="0.35">
      <c r="A29" s="60"/>
      <c r="B29" s="60"/>
      <c r="C29" s="60"/>
      <c r="D29" s="13" t="s">
        <v>12</v>
      </c>
      <c r="E29" s="38">
        <f>SUM(E24:E28)</f>
        <v>44</v>
      </c>
      <c r="F29" s="44"/>
      <c r="G29" s="37"/>
      <c r="H29" s="2"/>
      <c r="I29" s="44"/>
    </row>
    <row r="30" spans="1:9" x14ac:dyDescent="0.35">
      <c r="A30" s="59">
        <v>7</v>
      </c>
      <c r="B30" s="59">
        <v>59</v>
      </c>
      <c r="C30" s="59">
        <v>0</v>
      </c>
      <c r="D30" s="12" t="s">
        <v>17</v>
      </c>
      <c r="E30" s="35">
        <v>1</v>
      </c>
      <c r="F30" t="s">
        <v>103</v>
      </c>
      <c r="G30" s="35">
        <v>1</v>
      </c>
      <c r="H30" s="3" t="s">
        <v>102</v>
      </c>
      <c r="I30" s="42">
        <v>6</v>
      </c>
    </row>
    <row r="31" spans="1:9" x14ac:dyDescent="0.35">
      <c r="A31" s="60"/>
      <c r="B31" s="60"/>
      <c r="C31" s="60"/>
      <c r="D31" s="12" t="s">
        <v>36</v>
      </c>
      <c r="E31" s="35">
        <v>1</v>
      </c>
      <c r="F31" s="8" t="s">
        <v>12</v>
      </c>
      <c r="G31" s="36">
        <v>1</v>
      </c>
      <c r="H31" s="3" t="s">
        <v>99</v>
      </c>
      <c r="I31" s="42">
        <v>53</v>
      </c>
    </row>
    <row r="32" spans="1:9" x14ac:dyDescent="0.35">
      <c r="A32" s="60"/>
      <c r="B32" s="60"/>
      <c r="C32" s="60"/>
      <c r="D32" s="12" t="s">
        <v>6</v>
      </c>
      <c r="E32" s="35">
        <v>1</v>
      </c>
      <c r="F32" s="11" t="s">
        <v>26</v>
      </c>
      <c r="G32" s="36">
        <v>1</v>
      </c>
      <c r="H32" s="3"/>
      <c r="I32" s="42"/>
    </row>
    <row r="33" spans="1:10" x14ac:dyDescent="0.35">
      <c r="A33" s="60"/>
      <c r="B33" s="60"/>
      <c r="C33" s="60"/>
      <c r="D33" s="12" t="s">
        <v>7</v>
      </c>
      <c r="E33" s="35">
        <v>2</v>
      </c>
      <c r="F33" s="6"/>
      <c r="G33" s="35"/>
      <c r="H33" s="3"/>
      <c r="I33" s="42"/>
    </row>
    <row r="34" spans="1:10" x14ac:dyDescent="0.35">
      <c r="A34" s="60"/>
      <c r="B34" s="60"/>
      <c r="C34" s="60"/>
      <c r="D34" s="12" t="s">
        <v>8</v>
      </c>
      <c r="E34" s="35">
        <v>18</v>
      </c>
      <c r="F34" s="6"/>
      <c r="G34" s="35"/>
      <c r="H34" s="3"/>
      <c r="I34" s="42"/>
    </row>
    <row r="35" spans="1:10" x14ac:dyDescent="0.35">
      <c r="A35" s="60"/>
      <c r="B35" s="60"/>
      <c r="C35" s="60"/>
      <c r="D35" s="12" t="s">
        <v>9</v>
      </c>
      <c r="E35" s="35">
        <v>19</v>
      </c>
      <c r="F35" s="6"/>
      <c r="G35" s="35"/>
      <c r="H35" s="3"/>
      <c r="I35" s="42"/>
    </row>
    <row r="36" spans="1:10" ht="14" customHeight="1" x14ac:dyDescent="0.35">
      <c r="A36" s="60"/>
      <c r="B36" s="60"/>
      <c r="C36" s="60"/>
      <c r="D36" s="29" t="s">
        <v>10</v>
      </c>
      <c r="E36" s="39">
        <v>15</v>
      </c>
      <c r="F36" s="6"/>
      <c r="G36" s="39"/>
      <c r="H36" s="3"/>
      <c r="I36" s="42"/>
    </row>
    <row r="37" spans="1:10" x14ac:dyDescent="0.35">
      <c r="A37" s="60"/>
      <c r="B37" s="60"/>
      <c r="C37" s="60"/>
      <c r="D37" s="12" t="s">
        <v>28</v>
      </c>
      <c r="E37" s="35">
        <v>1</v>
      </c>
      <c r="F37" s="6"/>
      <c r="G37" s="35"/>
      <c r="H37" s="3"/>
      <c r="I37" s="42"/>
    </row>
    <row r="38" spans="1:10" x14ac:dyDescent="0.35">
      <c r="A38" s="60"/>
      <c r="B38" s="60"/>
      <c r="C38" s="62"/>
      <c r="D38" s="30" t="s">
        <v>12</v>
      </c>
      <c r="E38" s="40">
        <f>SUM(E30:E37)</f>
        <v>58</v>
      </c>
      <c r="F38" s="6"/>
      <c r="G38" s="35"/>
      <c r="H38" s="44"/>
      <c r="I38" s="42"/>
    </row>
    <row r="39" spans="1:10" x14ac:dyDescent="0.35">
      <c r="A39" s="59">
        <v>8</v>
      </c>
      <c r="B39" s="59">
        <v>39</v>
      </c>
      <c r="C39" s="59">
        <v>0</v>
      </c>
      <c r="D39" s="46" t="s">
        <v>7</v>
      </c>
      <c r="E39" s="34">
        <v>5</v>
      </c>
      <c r="F39" s="27" t="s">
        <v>104</v>
      </c>
      <c r="G39" s="34">
        <v>2</v>
      </c>
      <c r="H39" s="3" t="s">
        <v>102</v>
      </c>
      <c r="I39" s="45">
        <v>38</v>
      </c>
    </row>
    <row r="40" spans="1:10" x14ac:dyDescent="0.35">
      <c r="A40" s="60"/>
      <c r="B40" s="60"/>
      <c r="C40" s="60"/>
      <c r="D40" s="12" t="s">
        <v>8</v>
      </c>
      <c r="E40" s="35">
        <v>24</v>
      </c>
      <c r="F40" s="8" t="s">
        <v>12</v>
      </c>
      <c r="G40" s="36">
        <f>SUM(G39)</f>
        <v>2</v>
      </c>
      <c r="H40" s="3" t="s">
        <v>105</v>
      </c>
      <c r="I40" s="42">
        <v>1</v>
      </c>
    </row>
    <row r="41" spans="1:10" x14ac:dyDescent="0.35">
      <c r="A41" s="60"/>
      <c r="B41" s="60"/>
      <c r="C41" s="60"/>
      <c r="D41" s="12" t="s">
        <v>9</v>
      </c>
      <c r="E41" s="31">
        <v>8</v>
      </c>
      <c r="F41" s="11" t="s">
        <v>26</v>
      </c>
      <c r="G41" s="36">
        <v>2</v>
      </c>
      <c r="H41" s="3"/>
      <c r="I41" s="42"/>
    </row>
    <row r="42" spans="1:10" x14ac:dyDescent="0.35">
      <c r="A42" s="60"/>
      <c r="B42" s="60"/>
      <c r="C42" s="62"/>
      <c r="D42" s="32" t="s">
        <v>12</v>
      </c>
      <c r="E42" s="41">
        <v>37</v>
      </c>
      <c r="F42" s="50"/>
      <c r="G42" s="37"/>
      <c r="H42" s="2"/>
      <c r="I42" s="44"/>
    </row>
    <row r="43" spans="1:10" x14ac:dyDescent="0.35">
      <c r="A43" s="59">
        <v>9</v>
      </c>
      <c r="B43" s="59">
        <v>39</v>
      </c>
      <c r="C43" s="59">
        <v>0</v>
      </c>
      <c r="D43" s="12" t="s">
        <v>7</v>
      </c>
      <c r="E43" s="35">
        <v>2</v>
      </c>
      <c r="F43" t="s">
        <v>107</v>
      </c>
      <c r="G43" s="35">
        <v>1</v>
      </c>
      <c r="H43" s="3" t="s">
        <v>102</v>
      </c>
      <c r="I43" s="45">
        <v>39</v>
      </c>
    </row>
    <row r="44" spans="1:10" x14ac:dyDescent="0.35">
      <c r="A44" s="60"/>
      <c r="B44" s="60"/>
      <c r="C44" s="60"/>
      <c r="D44" s="12" t="s">
        <v>8</v>
      </c>
      <c r="E44" s="35">
        <v>9</v>
      </c>
      <c r="F44" s="27" t="s">
        <v>109</v>
      </c>
      <c r="G44" s="35">
        <v>1</v>
      </c>
      <c r="I44" s="42"/>
      <c r="J44" s="3"/>
    </row>
    <row r="45" spans="1:10" x14ac:dyDescent="0.35">
      <c r="A45" s="60"/>
      <c r="B45" s="60"/>
      <c r="C45" s="60"/>
      <c r="D45" s="12" t="s">
        <v>9</v>
      </c>
      <c r="E45" s="35">
        <v>21</v>
      </c>
      <c r="F45" s="49" t="s">
        <v>12</v>
      </c>
      <c r="G45" s="36">
        <v>2</v>
      </c>
      <c r="H45" s="3"/>
      <c r="I45" s="42"/>
    </row>
    <row r="46" spans="1:10" x14ac:dyDescent="0.35">
      <c r="A46" s="60"/>
      <c r="B46" s="60"/>
      <c r="C46" s="60"/>
      <c r="D46" s="12" t="s">
        <v>10</v>
      </c>
      <c r="E46" s="35">
        <v>5</v>
      </c>
      <c r="F46" s="11" t="s">
        <v>26</v>
      </c>
      <c r="G46" s="36">
        <v>1</v>
      </c>
      <c r="H46" s="3"/>
      <c r="I46" s="42"/>
    </row>
    <row r="47" spans="1:10" x14ac:dyDescent="0.35">
      <c r="A47" s="60"/>
      <c r="B47" s="60"/>
      <c r="C47" s="60"/>
      <c r="D47" s="32" t="s">
        <v>12</v>
      </c>
      <c r="E47" s="38">
        <f>SUM(E43:E46)</f>
        <v>37</v>
      </c>
      <c r="F47" s="15"/>
      <c r="G47" s="37"/>
      <c r="H47" s="2"/>
      <c r="I47" s="44"/>
    </row>
    <row r="48" spans="1:10" x14ac:dyDescent="0.35">
      <c r="A48" s="59">
        <v>10</v>
      </c>
      <c r="B48" s="59">
        <v>44</v>
      </c>
      <c r="C48" s="59">
        <v>0</v>
      </c>
      <c r="D48" s="12" t="s">
        <v>18</v>
      </c>
      <c r="E48" s="35">
        <v>1</v>
      </c>
      <c r="F48" s="49" t="s">
        <v>12</v>
      </c>
      <c r="G48" s="36">
        <v>0</v>
      </c>
      <c r="H48" s="3" t="s">
        <v>106</v>
      </c>
      <c r="I48" s="42">
        <v>37</v>
      </c>
    </row>
    <row r="49" spans="1:9" x14ac:dyDescent="0.35">
      <c r="A49" s="60"/>
      <c r="B49" s="60"/>
      <c r="C49" s="60"/>
      <c r="D49" s="12" t="s">
        <v>31</v>
      </c>
      <c r="E49" s="35">
        <v>1</v>
      </c>
      <c r="F49" s="11" t="s">
        <v>26</v>
      </c>
      <c r="G49" s="36">
        <v>0</v>
      </c>
      <c r="H49" s="3" t="s">
        <v>102</v>
      </c>
      <c r="I49" s="42">
        <v>7</v>
      </c>
    </row>
    <row r="50" spans="1:9" x14ac:dyDescent="0.35">
      <c r="A50" s="60"/>
      <c r="B50" s="60"/>
      <c r="C50" s="60"/>
      <c r="D50" s="12" t="s">
        <v>7</v>
      </c>
      <c r="E50" s="35">
        <v>9</v>
      </c>
      <c r="G50" s="35"/>
      <c r="H50" s="3"/>
      <c r="I50" s="42"/>
    </row>
    <row r="51" spans="1:9" x14ac:dyDescent="0.35">
      <c r="A51" s="60"/>
      <c r="B51" s="60"/>
      <c r="C51" s="60"/>
      <c r="D51" s="12" t="s">
        <v>9</v>
      </c>
      <c r="E51" s="35">
        <v>11</v>
      </c>
      <c r="F51" s="6"/>
      <c r="G51" s="35"/>
      <c r="H51" s="3"/>
      <c r="I51" s="42"/>
    </row>
    <row r="52" spans="1:9" x14ac:dyDescent="0.35">
      <c r="A52" s="60"/>
      <c r="B52" s="60"/>
      <c r="C52" s="60"/>
      <c r="D52" s="12" t="s">
        <v>10</v>
      </c>
      <c r="E52" s="35">
        <v>19</v>
      </c>
      <c r="F52" s="6"/>
      <c r="G52" s="35"/>
      <c r="H52" s="3"/>
      <c r="I52" s="42"/>
    </row>
    <row r="53" spans="1:9" x14ac:dyDescent="0.35">
      <c r="A53" s="60"/>
      <c r="B53" s="60"/>
      <c r="C53" s="60"/>
      <c r="D53" s="12" t="s">
        <v>11</v>
      </c>
      <c r="E53" s="35">
        <v>3</v>
      </c>
      <c r="G53" s="35"/>
      <c r="H53" s="3"/>
      <c r="I53" s="42"/>
    </row>
    <row r="54" spans="1:9" x14ac:dyDescent="0.35">
      <c r="A54" s="60"/>
      <c r="B54" s="60"/>
      <c r="C54" s="62"/>
      <c r="D54" s="30" t="s">
        <v>12</v>
      </c>
      <c r="E54" s="30">
        <f>SUM(E48:E53)</f>
        <v>44</v>
      </c>
      <c r="F54" s="42"/>
      <c r="G54" s="35"/>
      <c r="H54" s="3"/>
      <c r="I54" s="42"/>
    </row>
    <row r="55" spans="1:9" x14ac:dyDescent="0.35">
      <c r="A55" s="59">
        <v>11</v>
      </c>
      <c r="B55" s="59">
        <v>44</v>
      </c>
      <c r="C55" s="59">
        <v>0</v>
      </c>
      <c r="D55" s="46" t="s">
        <v>18</v>
      </c>
      <c r="E55" s="34">
        <v>1</v>
      </c>
      <c r="F55" s="27" t="s">
        <v>109</v>
      </c>
      <c r="G55" s="34">
        <v>1</v>
      </c>
      <c r="H55" s="26" t="s">
        <v>106</v>
      </c>
      <c r="I55" s="45">
        <v>44</v>
      </c>
    </row>
    <row r="56" spans="1:9" x14ac:dyDescent="0.35">
      <c r="A56" s="60"/>
      <c r="B56" s="60"/>
      <c r="C56" s="60"/>
      <c r="D56" s="12" t="s">
        <v>7</v>
      </c>
      <c r="E56" s="35">
        <v>10</v>
      </c>
      <c r="F56" t="s">
        <v>21</v>
      </c>
      <c r="G56" s="35">
        <v>1</v>
      </c>
      <c r="H56" s="3"/>
      <c r="I56" s="42"/>
    </row>
    <row r="57" spans="1:9" x14ac:dyDescent="0.35">
      <c r="A57" s="60"/>
      <c r="B57" s="60"/>
      <c r="C57" s="60"/>
      <c r="D57" s="12" t="s">
        <v>8</v>
      </c>
      <c r="E57" s="31">
        <v>2</v>
      </c>
      <c r="F57" s="49" t="s">
        <v>12</v>
      </c>
      <c r="G57" s="36">
        <f>SUM(G55:G56)</f>
        <v>2</v>
      </c>
      <c r="H57" s="3"/>
      <c r="I57" s="42"/>
    </row>
    <row r="58" spans="1:9" x14ac:dyDescent="0.35">
      <c r="A58" s="60"/>
      <c r="B58" s="60"/>
      <c r="C58" s="60"/>
      <c r="D58" s="12" t="s">
        <v>9</v>
      </c>
      <c r="E58" s="35">
        <v>3</v>
      </c>
      <c r="F58" s="11" t="s">
        <v>26</v>
      </c>
      <c r="G58" s="36">
        <v>1</v>
      </c>
      <c r="H58" s="3"/>
      <c r="I58" s="42"/>
    </row>
    <row r="59" spans="1:9" x14ac:dyDescent="0.35">
      <c r="A59" s="60"/>
      <c r="B59" s="60"/>
      <c r="C59" s="60"/>
      <c r="D59" s="12" t="s">
        <v>10</v>
      </c>
      <c r="E59" s="35">
        <v>26</v>
      </c>
      <c r="G59" s="35"/>
      <c r="H59" s="3"/>
      <c r="I59" s="42"/>
    </row>
    <row r="60" spans="1:9" x14ac:dyDescent="0.35">
      <c r="A60" s="60"/>
      <c r="B60" s="60"/>
      <c r="C60" s="60"/>
      <c r="D60" s="12" t="s">
        <v>11</v>
      </c>
      <c r="E60" s="35">
        <v>1</v>
      </c>
      <c r="G60" s="35"/>
      <c r="H60" s="3"/>
      <c r="I60" s="42"/>
    </row>
    <row r="61" spans="1:9" x14ac:dyDescent="0.35">
      <c r="A61" s="61"/>
      <c r="B61" s="61"/>
      <c r="C61" s="61"/>
      <c r="D61" s="32" t="s">
        <v>12</v>
      </c>
      <c r="E61" s="41">
        <f>SUM(E55:E60)</f>
        <v>43</v>
      </c>
      <c r="F61" s="1"/>
      <c r="G61" s="37"/>
      <c r="H61" s="2"/>
      <c r="I61" s="44"/>
    </row>
    <row r="62" spans="1:9" x14ac:dyDescent="0.35">
      <c r="A62" s="7" t="s">
        <v>12</v>
      </c>
      <c r="B62" s="7">
        <f>SUM(B2:B61)</f>
        <v>493</v>
      </c>
    </row>
  </sheetData>
  <mergeCells count="36">
    <mergeCell ref="A48:A54"/>
    <mergeCell ref="B48:B54"/>
    <mergeCell ref="C48:C54"/>
    <mergeCell ref="A55:A61"/>
    <mergeCell ref="B55:B61"/>
    <mergeCell ref="C55:C61"/>
    <mergeCell ref="A39:A42"/>
    <mergeCell ref="B39:B42"/>
    <mergeCell ref="C39:C42"/>
    <mergeCell ref="A43:A47"/>
    <mergeCell ref="B43:B47"/>
    <mergeCell ref="C43:C47"/>
    <mergeCell ref="A24:A29"/>
    <mergeCell ref="B24:B29"/>
    <mergeCell ref="C24:C29"/>
    <mergeCell ref="A30:A38"/>
    <mergeCell ref="B30:B38"/>
    <mergeCell ref="C30:C38"/>
    <mergeCell ref="A15:A19"/>
    <mergeCell ref="B15:B19"/>
    <mergeCell ref="C15:C19"/>
    <mergeCell ref="A20:A23"/>
    <mergeCell ref="B20:B23"/>
    <mergeCell ref="C20:C23"/>
    <mergeCell ref="A6:A9"/>
    <mergeCell ref="B6:B9"/>
    <mergeCell ref="C6:C9"/>
    <mergeCell ref="A10:A14"/>
    <mergeCell ref="B10:B14"/>
    <mergeCell ref="C10:C14"/>
    <mergeCell ref="D1:E1"/>
    <mergeCell ref="F1:G1"/>
    <mergeCell ref="H1:I1"/>
    <mergeCell ref="A2:A5"/>
    <mergeCell ref="B2:B5"/>
    <mergeCell ref="C2:C5"/>
  </mergeCells>
  <printOptions horizontalCentered="1" verticalCentered="1"/>
  <pageMargins left="0.98425196850393704" right="0.98425196850393704" top="0.98425196850393704" bottom="0.98425196850393704" header="0.51181102362204722" footer="0.51181102362204722"/>
  <pageSetup paperSize="9" scale="66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B58FD-D00D-4E0B-B06D-4D0779A6E49A}">
  <sheetPr>
    <pageSetUpPr fitToPage="1"/>
  </sheetPr>
  <dimension ref="A1:I99"/>
  <sheetViews>
    <sheetView topLeftCell="A73" zoomScale="58" zoomScaleNormal="58" zoomScalePageLayoutView="59" workbookViewId="0">
      <selection activeCell="E100" sqref="E100"/>
    </sheetView>
  </sheetViews>
  <sheetFormatPr defaultRowHeight="14.5" x14ac:dyDescent="0.35"/>
  <cols>
    <col min="1" max="1" width="5.54296875" customWidth="1"/>
    <col min="2" max="2" width="7.7265625" customWidth="1"/>
    <col min="4" max="4" width="8.1796875" style="12" customWidth="1"/>
    <col min="5" max="5" width="5.6328125" style="12" customWidth="1"/>
    <col min="6" max="6" width="35.1796875" customWidth="1"/>
    <col min="7" max="7" width="8.7265625" style="12"/>
    <col min="8" max="8" width="21.08984375" customWidth="1"/>
    <col min="9" max="9" width="3.453125" style="12" customWidth="1"/>
  </cols>
  <sheetData>
    <row r="1" spans="1:9" x14ac:dyDescent="0.35">
      <c r="A1" s="14" t="s">
        <v>0</v>
      </c>
      <c r="B1" s="14" t="s">
        <v>1</v>
      </c>
      <c r="C1" s="14" t="s">
        <v>5</v>
      </c>
      <c r="D1" s="63" t="s">
        <v>2</v>
      </c>
      <c r="E1" s="64"/>
      <c r="F1" s="63" t="s">
        <v>3</v>
      </c>
      <c r="G1" s="64"/>
      <c r="H1" s="63" t="s">
        <v>4</v>
      </c>
      <c r="I1" s="64"/>
    </row>
    <row r="2" spans="1:9" x14ac:dyDescent="0.35">
      <c r="A2" s="59">
        <v>1</v>
      </c>
      <c r="B2" s="59">
        <v>75</v>
      </c>
      <c r="C2" s="59">
        <v>0</v>
      </c>
      <c r="D2" s="12" t="s">
        <v>18</v>
      </c>
      <c r="E2" s="34">
        <v>1</v>
      </c>
      <c r="F2" s="17" t="s">
        <v>81</v>
      </c>
      <c r="G2" s="34">
        <v>1</v>
      </c>
      <c r="H2" s="28" t="s">
        <v>30</v>
      </c>
      <c r="I2" s="34">
        <v>75</v>
      </c>
    </row>
    <row r="3" spans="1:9" x14ac:dyDescent="0.35">
      <c r="A3" s="60"/>
      <c r="B3" s="60"/>
      <c r="C3" s="60"/>
      <c r="D3" s="12" t="s">
        <v>6</v>
      </c>
      <c r="E3" s="35">
        <v>1</v>
      </c>
      <c r="F3" s="18" t="s">
        <v>26</v>
      </c>
      <c r="G3" s="36">
        <v>1</v>
      </c>
      <c r="H3" s="31"/>
      <c r="I3" s="35"/>
    </row>
    <row r="4" spans="1:9" x14ac:dyDescent="0.35">
      <c r="A4" s="60"/>
      <c r="B4" s="60"/>
      <c r="C4" s="60"/>
      <c r="D4" s="12" t="s">
        <v>8</v>
      </c>
      <c r="E4" s="35">
        <v>28</v>
      </c>
      <c r="G4" s="35"/>
      <c r="H4" s="31"/>
      <c r="I4" s="35"/>
    </row>
    <row r="5" spans="1:9" x14ac:dyDescent="0.35">
      <c r="A5" s="60"/>
      <c r="B5" s="60"/>
      <c r="C5" s="60"/>
      <c r="D5" s="12" t="s">
        <v>9</v>
      </c>
      <c r="E5" s="35">
        <v>9</v>
      </c>
      <c r="F5" s="17"/>
      <c r="G5" s="35"/>
      <c r="H5" s="31"/>
      <c r="I5" s="35"/>
    </row>
    <row r="6" spans="1:9" x14ac:dyDescent="0.35">
      <c r="A6" s="60"/>
      <c r="B6" s="60"/>
      <c r="C6" s="60"/>
      <c r="D6" s="12" t="s">
        <v>10</v>
      </c>
      <c r="E6" s="35">
        <v>35</v>
      </c>
      <c r="F6" s="17"/>
      <c r="G6" s="35"/>
      <c r="H6" s="31"/>
      <c r="I6" s="35"/>
    </row>
    <row r="7" spans="1:9" x14ac:dyDescent="0.35">
      <c r="A7" s="60"/>
      <c r="B7" s="60"/>
      <c r="C7" s="60"/>
      <c r="D7" s="38" t="s">
        <v>12</v>
      </c>
      <c r="E7" s="38">
        <f>SUM(E2:E6)</f>
        <v>74</v>
      </c>
      <c r="F7" s="20"/>
      <c r="G7" s="37"/>
      <c r="H7" s="4"/>
      <c r="I7" s="37"/>
    </row>
    <row r="8" spans="1:9" x14ac:dyDescent="0.35">
      <c r="A8" s="59">
        <v>2</v>
      </c>
      <c r="B8" s="59">
        <v>75</v>
      </c>
      <c r="C8" s="59">
        <v>0</v>
      </c>
      <c r="D8" s="12" t="s">
        <v>6</v>
      </c>
      <c r="E8" s="35">
        <v>1</v>
      </c>
      <c r="F8" s="17" t="s">
        <v>78</v>
      </c>
      <c r="G8" s="35">
        <v>1</v>
      </c>
      <c r="H8" s="28" t="s">
        <v>30</v>
      </c>
      <c r="I8" s="35">
        <v>75</v>
      </c>
    </row>
    <row r="9" spans="1:9" x14ac:dyDescent="0.35">
      <c r="A9" s="60"/>
      <c r="B9" s="60"/>
      <c r="C9" s="60"/>
      <c r="D9" s="12" t="s">
        <v>7</v>
      </c>
      <c r="E9" s="35">
        <v>2</v>
      </c>
      <c r="F9" s="17" t="s">
        <v>79</v>
      </c>
      <c r="G9" s="35">
        <v>1</v>
      </c>
      <c r="H9" s="31"/>
      <c r="I9" s="35"/>
    </row>
    <row r="10" spans="1:9" x14ac:dyDescent="0.35">
      <c r="A10" s="60"/>
      <c r="B10" s="60"/>
      <c r="C10" s="60"/>
      <c r="D10" s="12" t="s">
        <v>8</v>
      </c>
      <c r="E10" s="35">
        <v>23</v>
      </c>
      <c r="F10" s="18" t="s">
        <v>26</v>
      </c>
      <c r="G10" s="36">
        <f>SUM(G8:G9)</f>
        <v>2</v>
      </c>
      <c r="H10" s="31"/>
      <c r="I10" s="35"/>
    </row>
    <row r="11" spans="1:9" x14ac:dyDescent="0.35">
      <c r="A11" s="60"/>
      <c r="B11" s="60"/>
      <c r="C11" s="60"/>
      <c r="D11" s="12" t="s">
        <v>9</v>
      </c>
      <c r="E11" s="35">
        <v>16</v>
      </c>
      <c r="F11" s="17"/>
      <c r="G11" s="35"/>
      <c r="H11" s="31"/>
      <c r="I11" s="35"/>
    </row>
    <row r="12" spans="1:9" x14ac:dyDescent="0.35">
      <c r="A12" s="60"/>
      <c r="B12" s="60"/>
      <c r="C12" s="60"/>
      <c r="D12" s="12" t="s">
        <v>10</v>
      </c>
      <c r="E12" s="35">
        <v>31</v>
      </c>
      <c r="F12" s="17"/>
      <c r="G12" s="35"/>
      <c r="H12" s="31"/>
      <c r="I12" s="35"/>
    </row>
    <row r="13" spans="1:9" x14ac:dyDescent="0.35">
      <c r="A13" s="60"/>
      <c r="B13" s="60"/>
      <c r="C13" s="60"/>
      <c r="D13" s="38" t="s">
        <v>12</v>
      </c>
      <c r="E13" s="38">
        <f>SUM(E8:E12)</f>
        <v>73</v>
      </c>
      <c r="F13" s="20"/>
      <c r="G13" s="37"/>
      <c r="H13" s="4"/>
      <c r="I13" s="37"/>
    </row>
    <row r="14" spans="1:9" x14ac:dyDescent="0.35">
      <c r="A14" s="59">
        <v>3</v>
      </c>
      <c r="B14" s="59">
        <v>75</v>
      </c>
      <c r="C14" s="59">
        <v>0</v>
      </c>
      <c r="D14" s="12" t="s">
        <v>7</v>
      </c>
      <c r="E14" s="35">
        <v>48</v>
      </c>
      <c r="F14" s="17" t="s">
        <v>43</v>
      </c>
      <c r="G14" s="35">
        <v>1</v>
      </c>
      <c r="H14" s="28" t="s">
        <v>30</v>
      </c>
      <c r="I14" s="35">
        <v>75</v>
      </c>
    </row>
    <row r="15" spans="1:9" x14ac:dyDescent="0.35">
      <c r="A15" s="60"/>
      <c r="B15" s="60"/>
      <c r="C15" s="60"/>
      <c r="D15" s="12" t="s">
        <v>8</v>
      </c>
      <c r="E15" s="35">
        <v>21</v>
      </c>
      <c r="F15" s="17" t="s">
        <v>44</v>
      </c>
      <c r="G15" s="35">
        <v>1</v>
      </c>
      <c r="H15" s="31"/>
      <c r="I15" s="35"/>
    </row>
    <row r="16" spans="1:9" x14ac:dyDescent="0.35">
      <c r="A16" s="60"/>
      <c r="B16" s="60"/>
      <c r="C16" s="60"/>
      <c r="D16" s="12" t="s">
        <v>10</v>
      </c>
      <c r="E16" s="35">
        <v>4</v>
      </c>
      <c r="F16" s="18" t="s">
        <v>26</v>
      </c>
      <c r="G16" s="36">
        <f>SUM(G14:G15)</f>
        <v>2</v>
      </c>
      <c r="H16" s="31"/>
      <c r="I16" s="35"/>
    </row>
    <row r="17" spans="1:9" x14ac:dyDescent="0.35">
      <c r="A17" s="60"/>
      <c r="B17" s="60"/>
      <c r="C17" s="60"/>
      <c r="D17" s="38" t="s">
        <v>12</v>
      </c>
      <c r="E17" s="38">
        <f>SUM(E14:E16)</f>
        <v>73</v>
      </c>
      <c r="F17" s="20"/>
      <c r="G17" s="37"/>
      <c r="H17" s="4"/>
      <c r="I17" s="37"/>
    </row>
    <row r="18" spans="1:9" x14ac:dyDescent="0.35">
      <c r="A18" s="59">
        <v>4</v>
      </c>
      <c r="B18" s="59">
        <v>75</v>
      </c>
      <c r="C18" s="59">
        <v>0</v>
      </c>
      <c r="D18" s="12" t="s">
        <v>6</v>
      </c>
      <c r="E18" s="35">
        <v>1</v>
      </c>
      <c r="F18" s="17" t="s">
        <v>41</v>
      </c>
      <c r="G18" s="35">
        <v>1</v>
      </c>
      <c r="H18" s="28" t="s">
        <v>30</v>
      </c>
      <c r="I18" s="35">
        <v>75</v>
      </c>
    </row>
    <row r="19" spans="1:9" x14ac:dyDescent="0.35">
      <c r="A19" s="60"/>
      <c r="B19" s="60"/>
      <c r="C19" s="60"/>
      <c r="D19" s="12" t="s">
        <v>7</v>
      </c>
      <c r="E19" s="35">
        <v>16</v>
      </c>
      <c r="F19" s="17" t="s">
        <v>42</v>
      </c>
      <c r="G19" s="35">
        <v>1</v>
      </c>
      <c r="H19" s="31"/>
      <c r="I19" s="35"/>
    </row>
    <row r="20" spans="1:9" x14ac:dyDescent="0.35">
      <c r="A20" s="60"/>
      <c r="B20" s="60"/>
      <c r="C20" s="60"/>
      <c r="D20" s="12" t="s">
        <v>8</v>
      </c>
      <c r="E20" s="35">
        <v>36</v>
      </c>
      <c r="F20" s="18" t="s">
        <v>26</v>
      </c>
      <c r="G20" s="36">
        <f>SUM(G18:G19)</f>
        <v>2</v>
      </c>
      <c r="H20" s="31"/>
      <c r="I20" s="35"/>
    </row>
    <row r="21" spans="1:9" x14ac:dyDescent="0.35">
      <c r="A21" s="60"/>
      <c r="B21" s="60"/>
      <c r="C21" s="60"/>
      <c r="D21" s="12" t="s">
        <v>9</v>
      </c>
      <c r="E21" s="35">
        <v>4</v>
      </c>
      <c r="F21" s="17"/>
      <c r="G21" s="35"/>
      <c r="H21" s="31"/>
      <c r="I21" s="35"/>
    </row>
    <row r="22" spans="1:9" x14ac:dyDescent="0.35">
      <c r="A22" s="60"/>
      <c r="B22" s="60"/>
      <c r="C22" s="60"/>
      <c r="D22" s="12" t="s">
        <v>10</v>
      </c>
      <c r="E22" s="35">
        <v>16</v>
      </c>
      <c r="F22" s="17"/>
      <c r="G22" s="35"/>
      <c r="H22" s="31"/>
      <c r="I22" s="35"/>
    </row>
    <row r="23" spans="1:9" x14ac:dyDescent="0.35">
      <c r="A23" s="61"/>
      <c r="B23" s="61"/>
      <c r="C23" s="61"/>
      <c r="D23" s="13" t="s">
        <v>12</v>
      </c>
      <c r="E23" s="38">
        <f>SUM(E18:E22)</f>
        <v>73</v>
      </c>
      <c r="F23" s="20"/>
      <c r="G23" s="37"/>
      <c r="H23" s="4"/>
      <c r="I23" s="37"/>
    </row>
    <row r="24" spans="1:9" x14ac:dyDescent="0.35">
      <c r="A24" s="59">
        <v>5</v>
      </c>
      <c r="B24" s="59">
        <v>75</v>
      </c>
      <c r="C24" s="59">
        <v>0</v>
      </c>
      <c r="D24" s="12" t="s">
        <v>6</v>
      </c>
      <c r="E24" s="35">
        <v>4</v>
      </c>
      <c r="F24" s="17" t="s">
        <v>39</v>
      </c>
      <c r="G24" s="35">
        <v>1</v>
      </c>
      <c r="H24" s="28" t="s">
        <v>30</v>
      </c>
      <c r="I24" s="35">
        <v>75</v>
      </c>
    </row>
    <row r="25" spans="1:9" x14ac:dyDescent="0.35">
      <c r="A25" s="60"/>
      <c r="B25" s="60"/>
      <c r="C25" s="60"/>
      <c r="D25" s="12" t="s">
        <v>7</v>
      </c>
      <c r="E25" s="35">
        <v>4</v>
      </c>
      <c r="F25" s="18" t="s">
        <v>40</v>
      </c>
      <c r="G25" s="36">
        <v>1</v>
      </c>
      <c r="H25" s="31"/>
      <c r="I25" s="35"/>
    </row>
    <row r="26" spans="1:9" x14ac:dyDescent="0.35">
      <c r="A26" s="60"/>
      <c r="B26" s="60"/>
      <c r="C26" s="60"/>
      <c r="D26" s="12" t="s">
        <v>8</v>
      </c>
      <c r="E26" s="35">
        <v>33</v>
      </c>
      <c r="F26" s="17"/>
      <c r="G26" s="35"/>
      <c r="H26" s="31"/>
      <c r="I26" s="35"/>
    </row>
    <row r="27" spans="1:9" x14ac:dyDescent="0.35">
      <c r="A27" s="60"/>
      <c r="B27" s="60"/>
      <c r="C27" s="60"/>
      <c r="D27" s="12" t="s">
        <v>9</v>
      </c>
      <c r="E27" s="35">
        <v>9</v>
      </c>
      <c r="F27" s="17"/>
      <c r="G27" s="35"/>
      <c r="H27" s="31"/>
      <c r="I27" s="35"/>
    </row>
    <row r="28" spans="1:9" x14ac:dyDescent="0.35">
      <c r="A28" s="60"/>
      <c r="B28" s="60"/>
      <c r="C28" s="60"/>
      <c r="D28" s="12" t="s">
        <v>10</v>
      </c>
      <c r="E28" s="35">
        <v>24</v>
      </c>
      <c r="F28" s="17"/>
      <c r="G28" s="35"/>
      <c r="H28" s="31"/>
      <c r="I28" s="35"/>
    </row>
    <row r="29" spans="1:9" x14ac:dyDescent="0.35">
      <c r="A29" s="60"/>
      <c r="B29" s="60"/>
      <c r="C29" s="60"/>
      <c r="D29" s="13" t="s">
        <v>12</v>
      </c>
      <c r="E29" s="38">
        <f>SUM(E24:E28)</f>
        <v>74</v>
      </c>
      <c r="F29" s="20"/>
      <c r="G29" s="37"/>
      <c r="H29" s="4"/>
      <c r="I29" s="37"/>
    </row>
    <row r="30" spans="1:9" x14ac:dyDescent="0.35">
      <c r="A30" s="59">
        <v>6</v>
      </c>
      <c r="B30" s="59">
        <v>75</v>
      </c>
      <c r="C30" s="59">
        <v>0</v>
      </c>
      <c r="D30" s="12" t="s">
        <v>18</v>
      </c>
      <c r="E30" s="35">
        <v>1</v>
      </c>
      <c r="F30" t="s">
        <v>22</v>
      </c>
      <c r="G30" s="35">
        <v>1</v>
      </c>
      <c r="H30" s="3" t="s">
        <v>30</v>
      </c>
      <c r="I30" s="35">
        <v>75</v>
      </c>
    </row>
    <row r="31" spans="1:9" x14ac:dyDescent="0.35">
      <c r="A31" s="60"/>
      <c r="B31" s="60"/>
      <c r="C31" s="60"/>
      <c r="D31" s="12" t="s">
        <v>6</v>
      </c>
      <c r="E31" s="35">
        <v>2</v>
      </c>
      <c r="F31" t="s">
        <v>113</v>
      </c>
      <c r="G31" s="35">
        <v>1</v>
      </c>
      <c r="H31" s="3"/>
      <c r="I31" s="35"/>
    </row>
    <row r="32" spans="1:9" x14ac:dyDescent="0.35">
      <c r="A32" s="60"/>
      <c r="B32" s="60"/>
      <c r="C32" s="60"/>
      <c r="D32" s="12" t="s">
        <v>7</v>
      </c>
      <c r="E32" s="35">
        <v>3</v>
      </c>
      <c r="F32" t="s">
        <v>29</v>
      </c>
      <c r="G32" s="35">
        <v>1</v>
      </c>
      <c r="H32" s="3"/>
      <c r="I32" s="35"/>
    </row>
    <row r="33" spans="1:9" x14ac:dyDescent="0.35">
      <c r="A33" s="60"/>
      <c r="B33" s="60"/>
      <c r="C33" s="60"/>
      <c r="D33" s="12" t="s">
        <v>8</v>
      </c>
      <c r="E33" s="35">
        <v>23</v>
      </c>
      <c r="F33" s="7" t="s">
        <v>27</v>
      </c>
      <c r="G33" s="36">
        <f>SUM(G30:G32)</f>
        <v>3</v>
      </c>
      <c r="H33" s="3"/>
      <c r="I33" s="35"/>
    </row>
    <row r="34" spans="1:9" x14ac:dyDescent="0.35">
      <c r="A34" s="60"/>
      <c r="B34" s="60"/>
      <c r="C34" s="60"/>
      <c r="D34" s="12" t="s">
        <v>9</v>
      </c>
      <c r="E34" s="35">
        <v>9</v>
      </c>
      <c r="F34" s="7" t="s">
        <v>26</v>
      </c>
      <c r="G34" s="36">
        <v>2</v>
      </c>
      <c r="H34" s="3"/>
      <c r="I34" s="35"/>
    </row>
    <row r="35" spans="1:9" x14ac:dyDescent="0.35">
      <c r="A35" s="60"/>
      <c r="B35" s="60"/>
      <c r="C35" s="60"/>
      <c r="D35" s="12" t="s">
        <v>10</v>
      </c>
      <c r="E35" s="35">
        <v>34</v>
      </c>
      <c r="G35" s="35"/>
      <c r="H35" s="3"/>
      <c r="I35" s="35"/>
    </row>
    <row r="36" spans="1:9" x14ac:dyDescent="0.35">
      <c r="A36" s="60"/>
      <c r="B36" s="60"/>
      <c r="C36" s="60"/>
      <c r="D36" s="12" t="s">
        <v>28</v>
      </c>
      <c r="E36" s="35">
        <v>1</v>
      </c>
      <c r="G36" s="35"/>
      <c r="H36" s="3"/>
      <c r="I36" s="35"/>
    </row>
    <row r="37" spans="1:9" x14ac:dyDescent="0.35">
      <c r="A37" s="61"/>
      <c r="B37" s="61"/>
      <c r="C37" s="61"/>
      <c r="D37" s="13" t="s">
        <v>12</v>
      </c>
      <c r="E37" s="13">
        <f>SUM(E30:E36)</f>
        <v>73</v>
      </c>
      <c r="F37" s="2"/>
      <c r="G37" s="37"/>
      <c r="H37" s="2"/>
      <c r="I37" s="37"/>
    </row>
    <row r="38" spans="1:9" x14ac:dyDescent="0.35">
      <c r="A38" s="59">
        <v>7</v>
      </c>
      <c r="B38" s="59">
        <v>59</v>
      </c>
      <c r="C38" s="59">
        <v>0</v>
      </c>
      <c r="D38" s="46" t="s">
        <v>18</v>
      </c>
      <c r="E38" s="34">
        <v>3</v>
      </c>
      <c r="F38" s="27" t="s">
        <v>21</v>
      </c>
      <c r="G38" s="34">
        <v>2</v>
      </c>
      <c r="H38" s="26" t="s">
        <v>106</v>
      </c>
      <c r="I38" s="34">
        <v>15</v>
      </c>
    </row>
    <row r="39" spans="1:9" x14ac:dyDescent="0.35">
      <c r="A39" s="60"/>
      <c r="B39" s="60"/>
      <c r="C39" s="60"/>
      <c r="D39" s="12" t="s">
        <v>31</v>
      </c>
      <c r="E39" s="35">
        <v>1</v>
      </c>
      <c r="F39" s="6" t="s">
        <v>110</v>
      </c>
      <c r="G39" s="35">
        <v>1</v>
      </c>
      <c r="H39" s="3" t="s">
        <v>122</v>
      </c>
      <c r="I39" s="35">
        <v>20</v>
      </c>
    </row>
    <row r="40" spans="1:9" x14ac:dyDescent="0.35">
      <c r="A40" s="60"/>
      <c r="B40" s="60"/>
      <c r="C40" s="60"/>
      <c r="D40" s="12" t="s">
        <v>32</v>
      </c>
      <c r="E40" s="35">
        <v>3</v>
      </c>
      <c r="F40" s="6" t="s">
        <v>112</v>
      </c>
      <c r="G40" s="35">
        <v>1</v>
      </c>
      <c r="H40" s="3"/>
      <c r="I40" s="35"/>
    </row>
    <row r="41" spans="1:9" x14ac:dyDescent="0.35">
      <c r="A41" s="60"/>
      <c r="B41" s="60"/>
      <c r="C41" s="60"/>
      <c r="D41" s="12" t="s">
        <v>6</v>
      </c>
      <c r="E41" s="35">
        <v>9</v>
      </c>
      <c r="F41" s="6" t="s">
        <v>111</v>
      </c>
      <c r="G41" s="35">
        <v>1</v>
      </c>
      <c r="H41" s="3"/>
      <c r="I41" s="35"/>
    </row>
    <row r="42" spans="1:9" x14ac:dyDescent="0.35">
      <c r="A42" s="60"/>
      <c r="B42" s="60"/>
      <c r="C42" s="60"/>
      <c r="D42" s="12" t="s">
        <v>7</v>
      </c>
      <c r="E42" s="35">
        <v>15</v>
      </c>
      <c r="F42" s="6" t="s">
        <v>114</v>
      </c>
      <c r="G42" s="35">
        <v>1</v>
      </c>
      <c r="H42" s="3"/>
      <c r="I42" s="35"/>
    </row>
    <row r="43" spans="1:9" x14ac:dyDescent="0.35">
      <c r="A43" s="60"/>
      <c r="B43" s="60"/>
      <c r="C43" s="60"/>
      <c r="D43" s="12" t="s">
        <v>8</v>
      </c>
      <c r="E43" s="35">
        <v>3</v>
      </c>
      <c r="F43" s="6" t="s">
        <v>33</v>
      </c>
      <c r="G43" s="35">
        <v>1</v>
      </c>
      <c r="H43" s="3"/>
      <c r="I43" s="35"/>
    </row>
    <row r="44" spans="1:9" ht="14" customHeight="1" x14ac:dyDescent="0.35">
      <c r="A44" s="60"/>
      <c r="B44" s="60"/>
      <c r="C44" s="60"/>
      <c r="D44" s="29" t="s">
        <v>9</v>
      </c>
      <c r="E44" s="39">
        <v>1</v>
      </c>
      <c r="F44" s="6" t="s">
        <v>34</v>
      </c>
      <c r="G44" s="39">
        <v>1</v>
      </c>
      <c r="H44" s="3"/>
      <c r="I44" s="35"/>
    </row>
    <row r="45" spans="1:9" x14ac:dyDescent="0.35">
      <c r="A45" s="60"/>
      <c r="B45" s="60"/>
      <c r="C45" s="60"/>
      <c r="D45" s="12" t="s">
        <v>10</v>
      </c>
      <c r="E45" s="35">
        <v>17</v>
      </c>
      <c r="F45" s="6" t="s">
        <v>35</v>
      </c>
      <c r="G45" s="35">
        <v>1</v>
      </c>
      <c r="H45" s="3"/>
      <c r="I45" s="35"/>
    </row>
    <row r="46" spans="1:9" x14ac:dyDescent="0.35">
      <c r="A46" s="60"/>
      <c r="B46" s="60"/>
      <c r="C46" s="62"/>
      <c r="D46" s="30" t="s">
        <v>12</v>
      </c>
      <c r="E46" s="40">
        <f>SUM(E38:E45)</f>
        <v>52</v>
      </c>
      <c r="F46" s="6" t="s">
        <v>115</v>
      </c>
      <c r="G46" s="35">
        <v>1</v>
      </c>
      <c r="H46" s="3"/>
      <c r="I46" s="35"/>
    </row>
    <row r="47" spans="1:9" x14ac:dyDescent="0.35">
      <c r="A47" s="60"/>
      <c r="B47" s="60"/>
      <c r="C47" s="60"/>
      <c r="E47" s="35"/>
      <c r="F47" s="8" t="s">
        <v>12</v>
      </c>
      <c r="G47" s="36">
        <f>SUM(G38:G46)</f>
        <v>10</v>
      </c>
      <c r="H47" s="3"/>
      <c r="I47" s="35"/>
    </row>
    <row r="48" spans="1:9" x14ac:dyDescent="0.35">
      <c r="A48" s="61"/>
      <c r="B48" s="61"/>
      <c r="C48" s="61"/>
      <c r="D48" s="4"/>
      <c r="E48" s="37"/>
      <c r="F48" s="9" t="s">
        <v>26</v>
      </c>
      <c r="G48" s="38">
        <v>7</v>
      </c>
      <c r="H48" s="2"/>
      <c r="I48" s="37"/>
    </row>
    <row r="49" spans="1:9" x14ac:dyDescent="0.35">
      <c r="A49" s="59">
        <v>8</v>
      </c>
      <c r="B49" s="59">
        <v>62</v>
      </c>
      <c r="C49" s="59">
        <v>0</v>
      </c>
      <c r="D49" s="46" t="s">
        <v>17</v>
      </c>
      <c r="E49" s="34">
        <v>2</v>
      </c>
      <c r="F49" s="27" t="s">
        <v>38</v>
      </c>
      <c r="G49" s="34">
        <v>1</v>
      </c>
      <c r="H49" s="26" t="s">
        <v>13</v>
      </c>
      <c r="I49" s="34">
        <v>62</v>
      </c>
    </row>
    <row r="50" spans="1:9" x14ac:dyDescent="0.35">
      <c r="A50" s="60"/>
      <c r="B50" s="60"/>
      <c r="C50" s="60"/>
      <c r="D50" s="12" t="s">
        <v>18</v>
      </c>
      <c r="E50" s="35">
        <v>2</v>
      </c>
      <c r="F50" s="8" t="s">
        <v>12</v>
      </c>
      <c r="G50" s="36">
        <f>SUM(G49)</f>
        <v>1</v>
      </c>
      <c r="H50" s="3"/>
      <c r="I50" s="35"/>
    </row>
    <row r="51" spans="1:9" x14ac:dyDescent="0.35">
      <c r="A51" s="60"/>
      <c r="B51" s="60"/>
      <c r="C51" s="60"/>
      <c r="D51" s="12" t="s">
        <v>36</v>
      </c>
      <c r="E51" s="31">
        <v>1</v>
      </c>
      <c r="F51" s="11" t="s">
        <v>26</v>
      </c>
      <c r="G51" s="36">
        <v>1</v>
      </c>
      <c r="H51" s="3"/>
      <c r="I51" s="35"/>
    </row>
    <row r="52" spans="1:9" x14ac:dyDescent="0.35">
      <c r="A52" s="60"/>
      <c r="B52" s="60"/>
      <c r="C52" s="60"/>
      <c r="D52" s="12" t="s">
        <v>37</v>
      </c>
      <c r="E52" s="35">
        <v>3</v>
      </c>
      <c r="F52" s="6"/>
      <c r="G52" s="35"/>
      <c r="H52" s="3"/>
      <c r="I52" s="35"/>
    </row>
    <row r="53" spans="1:9" x14ac:dyDescent="0.35">
      <c r="A53" s="60"/>
      <c r="B53" s="60"/>
      <c r="C53" s="60"/>
      <c r="D53" s="12" t="s">
        <v>31</v>
      </c>
      <c r="E53" s="35">
        <v>8</v>
      </c>
      <c r="F53" s="6"/>
      <c r="G53" s="35"/>
      <c r="H53" s="3"/>
      <c r="I53" s="35"/>
    </row>
    <row r="54" spans="1:9" x14ac:dyDescent="0.35">
      <c r="A54" s="60"/>
      <c r="B54" s="60"/>
      <c r="C54" s="60"/>
      <c r="D54" s="12" t="s">
        <v>32</v>
      </c>
      <c r="E54" s="35">
        <v>3</v>
      </c>
      <c r="F54" s="6"/>
      <c r="G54" s="35"/>
      <c r="H54" s="3"/>
      <c r="I54" s="35"/>
    </row>
    <row r="55" spans="1:9" x14ac:dyDescent="0.35">
      <c r="A55" s="60"/>
      <c r="B55" s="60"/>
      <c r="C55" s="60"/>
      <c r="D55" s="29" t="s">
        <v>6</v>
      </c>
      <c r="E55" s="39">
        <v>19</v>
      </c>
      <c r="F55" s="6"/>
      <c r="G55" s="35"/>
      <c r="H55" s="3"/>
      <c r="I55" s="35"/>
    </row>
    <row r="56" spans="1:9" x14ac:dyDescent="0.35">
      <c r="A56" s="60"/>
      <c r="B56" s="60"/>
      <c r="C56" s="60"/>
      <c r="D56" s="12" t="s">
        <v>7</v>
      </c>
      <c r="E56" s="35">
        <v>20</v>
      </c>
      <c r="F56" s="6"/>
      <c r="G56" s="35"/>
      <c r="H56" s="3"/>
      <c r="I56" s="35"/>
    </row>
    <row r="57" spans="1:9" x14ac:dyDescent="0.35">
      <c r="A57" s="60"/>
      <c r="B57" s="60"/>
      <c r="C57" s="60"/>
      <c r="D57" s="31" t="s">
        <v>8</v>
      </c>
      <c r="E57" s="35">
        <v>1</v>
      </c>
      <c r="F57" s="6"/>
      <c r="G57" s="35"/>
      <c r="H57" s="3"/>
      <c r="I57" s="35"/>
    </row>
    <row r="58" spans="1:9" x14ac:dyDescent="0.35">
      <c r="A58" s="60"/>
      <c r="B58" s="60"/>
      <c r="C58" s="60"/>
      <c r="D58" s="31" t="s">
        <v>10</v>
      </c>
      <c r="E58" s="35">
        <v>2</v>
      </c>
      <c r="F58" s="6"/>
      <c r="G58" s="35"/>
      <c r="H58" s="3"/>
      <c r="I58" s="35"/>
    </row>
    <row r="59" spans="1:9" x14ac:dyDescent="0.35">
      <c r="A59" s="61"/>
      <c r="B59" s="61"/>
      <c r="C59" s="61"/>
      <c r="D59" s="32" t="s">
        <v>12</v>
      </c>
      <c r="E59" s="41">
        <f>SUM(E49:E58)</f>
        <v>61</v>
      </c>
      <c r="F59" s="15"/>
      <c r="G59" s="37"/>
      <c r="H59" s="2"/>
      <c r="I59" s="37"/>
    </row>
    <row r="60" spans="1:9" x14ac:dyDescent="0.35">
      <c r="A60" s="59">
        <v>9</v>
      </c>
      <c r="B60" s="59">
        <v>63</v>
      </c>
      <c r="C60" s="59">
        <v>0</v>
      </c>
      <c r="D60" s="12" t="s">
        <v>17</v>
      </c>
      <c r="E60" s="35">
        <v>1</v>
      </c>
      <c r="F60" t="s">
        <v>84</v>
      </c>
      <c r="G60" s="34">
        <v>1</v>
      </c>
      <c r="H60" s="3" t="s">
        <v>13</v>
      </c>
      <c r="I60" s="35">
        <v>63</v>
      </c>
    </row>
    <row r="61" spans="1:9" x14ac:dyDescent="0.35">
      <c r="A61" s="60"/>
      <c r="B61" s="60"/>
      <c r="C61" s="60"/>
      <c r="D61" s="12" t="s">
        <v>18</v>
      </c>
      <c r="E61" s="35">
        <v>7</v>
      </c>
      <c r="F61" t="s">
        <v>116</v>
      </c>
      <c r="G61" s="35">
        <v>1</v>
      </c>
      <c r="H61" s="3"/>
      <c r="I61" s="35"/>
    </row>
    <row r="62" spans="1:9" x14ac:dyDescent="0.35">
      <c r="A62" s="60"/>
      <c r="B62" s="60"/>
      <c r="C62" s="60"/>
      <c r="D62" s="12" t="s">
        <v>19</v>
      </c>
      <c r="E62" s="35">
        <v>3</v>
      </c>
      <c r="F62" t="s">
        <v>117</v>
      </c>
      <c r="G62" s="35">
        <v>1</v>
      </c>
      <c r="H62" s="3"/>
      <c r="I62" s="35"/>
    </row>
    <row r="63" spans="1:9" x14ac:dyDescent="0.35">
      <c r="A63" s="60"/>
      <c r="B63" s="60"/>
      <c r="C63" s="60"/>
      <c r="D63" s="12" t="s">
        <v>32</v>
      </c>
      <c r="E63" s="35">
        <v>17</v>
      </c>
      <c r="F63" s="6" t="s">
        <v>85</v>
      </c>
      <c r="G63" s="35">
        <v>1</v>
      </c>
      <c r="H63" s="3"/>
      <c r="I63" s="35"/>
    </row>
    <row r="64" spans="1:9" x14ac:dyDescent="0.35">
      <c r="A64" s="60"/>
      <c r="B64" s="60"/>
      <c r="C64" s="60"/>
      <c r="D64" s="12" t="s">
        <v>6</v>
      </c>
      <c r="E64" s="35">
        <v>11</v>
      </c>
      <c r="F64" s="6" t="s">
        <v>86</v>
      </c>
      <c r="G64" s="35">
        <v>1</v>
      </c>
      <c r="H64" s="3"/>
      <c r="I64" s="35"/>
    </row>
    <row r="65" spans="1:9" x14ac:dyDescent="0.35">
      <c r="A65" s="60"/>
      <c r="B65" s="60"/>
      <c r="C65" s="60"/>
      <c r="D65" s="12" t="s">
        <v>7</v>
      </c>
      <c r="E65" s="35">
        <v>14</v>
      </c>
      <c r="F65" t="s">
        <v>22</v>
      </c>
      <c r="G65" s="35">
        <v>5</v>
      </c>
      <c r="H65" s="3"/>
      <c r="I65" s="35"/>
    </row>
    <row r="66" spans="1:9" x14ac:dyDescent="0.35">
      <c r="A66" s="60"/>
      <c r="B66" s="60"/>
      <c r="C66" s="60"/>
      <c r="D66" s="29" t="s">
        <v>9</v>
      </c>
      <c r="E66" s="39">
        <v>2</v>
      </c>
      <c r="F66" s="8" t="s">
        <v>12</v>
      </c>
      <c r="G66" s="36">
        <f>SUM(G60:G65)</f>
        <v>10</v>
      </c>
      <c r="H66" s="3"/>
      <c r="I66" s="35"/>
    </row>
    <row r="67" spans="1:9" x14ac:dyDescent="0.35">
      <c r="A67" s="60"/>
      <c r="B67" s="60"/>
      <c r="C67" s="60"/>
      <c r="D67" s="12" t="s">
        <v>11</v>
      </c>
      <c r="E67" s="35">
        <v>1</v>
      </c>
      <c r="F67" s="11" t="s">
        <v>26</v>
      </c>
      <c r="G67" s="36">
        <v>5</v>
      </c>
      <c r="H67" s="3"/>
      <c r="I67" s="35"/>
    </row>
    <row r="68" spans="1:9" x14ac:dyDescent="0.35">
      <c r="A68" s="60"/>
      <c r="B68" s="60"/>
      <c r="C68" s="60"/>
      <c r="D68" s="31" t="s">
        <v>82</v>
      </c>
      <c r="E68" s="35">
        <v>1</v>
      </c>
      <c r="F68" s="6"/>
      <c r="G68" s="35"/>
      <c r="H68" s="3"/>
      <c r="I68" s="35"/>
    </row>
    <row r="69" spans="1:9" x14ac:dyDescent="0.35">
      <c r="A69" s="60"/>
      <c r="B69" s="60"/>
      <c r="C69" s="60"/>
      <c r="D69" s="31" t="s">
        <v>83</v>
      </c>
      <c r="E69" s="35">
        <v>1</v>
      </c>
      <c r="G69" s="35"/>
      <c r="H69" s="3"/>
      <c r="I69" s="35"/>
    </row>
    <row r="70" spans="1:9" x14ac:dyDescent="0.35">
      <c r="A70" s="61"/>
      <c r="B70" s="61"/>
      <c r="C70" s="61"/>
      <c r="D70" s="32" t="s">
        <v>12</v>
      </c>
      <c r="E70" s="41">
        <f>SUM(E60:E69)</f>
        <v>58</v>
      </c>
      <c r="F70" s="2"/>
      <c r="G70" s="37"/>
      <c r="H70" s="2"/>
      <c r="I70" s="37"/>
    </row>
    <row r="71" spans="1:9" x14ac:dyDescent="0.35">
      <c r="A71" s="59">
        <v>10</v>
      </c>
      <c r="B71" s="59">
        <v>66</v>
      </c>
      <c r="C71" s="59">
        <v>0</v>
      </c>
      <c r="D71" s="12" t="s">
        <v>17</v>
      </c>
      <c r="E71" s="35">
        <v>8</v>
      </c>
      <c r="F71" t="s">
        <v>96</v>
      </c>
      <c r="G71" s="34">
        <v>1</v>
      </c>
      <c r="H71" s="3" t="s">
        <v>13</v>
      </c>
      <c r="I71" s="35">
        <v>59</v>
      </c>
    </row>
    <row r="72" spans="1:9" x14ac:dyDescent="0.35">
      <c r="A72" s="60"/>
      <c r="B72" s="60"/>
      <c r="C72" s="60"/>
      <c r="D72" s="12" t="s">
        <v>18</v>
      </c>
      <c r="E72" s="35">
        <v>30</v>
      </c>
      <c r="F72" t="s">
        <v>118</v>
      </c>
      <c r="G72" s="35">
        <v>1</v>
      </c>
      <c r="H72" s="3" t="s">
        <v>94</v>
      </c>
      <c r="I72" s="35">
        <v>6</v>
      </c>
    </row>
    <row r="73" spans="1:9" x14ac:dyDescent="0.35">
      <c r="A73" s="60"/>
      <c r="B73" s="60"/>
      <c r="C73" s="60"/>
      <c r="D73" s="12" t="s">
        <v>19</v>
      </c>
      <c r="E73" s="31">
        <v>4</v>
      </c>
      <c r="F73" s="3" t="s">
        <v>119</v>
      </c>
      <c r="G73" s="35">
        <v>1</v>
      </c>
      <c r="H73" s="3" t="s">
        <v>95</v>
      </c>
      <c r="I73" s="35">
        <v>1</v>
      </c>
    </row>
    <row r="74" spans="1:9" x14ac:dyDescent="0.35">
      <c r="A74" s="60"/>
      <c r="B74" s="60"/>
      <c r="C74" s="60"/>
      <c r="D74" s="12" t="s">
        <v>36</v>
      </c>
      <c r="E74" s="35">
        <v>13</v>
      </c>
      <c r="F74" s="33" t="s">
        <v>120</v>
      </c>
      <c r="G74" s="35">
        <v>1</v>
      </c>
      <c r="H74" s="3"/>
      <c r="I74" s="35"/>
    </row>
    <row r="75" spans="1:9" x14ac:dyDescent="0.35">
      <c r="A75" s="60"/>
      <c r="B75" s="60"/>
      <c r="C75" s="60"/>
      <c r="D75" s="12" t="s">
        <v>37</v>
      </c>
      <c r="E75" s="35">
        <v>1</v>
      </c>
      <c r="F75" s="6" t="s">
        <v>22</v>
      </c>
      <c r="G75" s="35">
        <v>9</v>
      </c>
      <c r="H75" s="3"/>
      <c r="I75" s="35"/>
    </row>
    <row r="76" spans="1:9" x14ac:dyDescent="0.35">
      <c r="A76" s="60"/>
      <c r="B76" s="60"/>
      <c r="C76" s="60"/>
      <c r="D76" s="12" t="s">
        <v>6</v>
      </c>
      <c r="E76" s="35">
        <v>1</v>
      </c>
      <c r="F76" t="s">
        <v>93</v>
      </c>
      <c r="G76" s="35">
        <v>13</v>
      </c>
      <c r="H76" s="3"/>
      <c r="I76" s="35"/>
    </row>
    <row r="77" spans="1:9" x14ac:dyDescent="0.35">
      <c r="A77" s="60"/>
      <c r="B77" s="60"/>
      <c r="C77" s="60"/>
      <c r="D77" s="29" t="s">
        <v>7</v>
      </c>
      <c r="E77" s="39">
        <v>1</v>
      </c>
      <c r="F77" t="s">
        <v>97</v>
      </c>
      <c r="G77" s="35">
        <v>1</v>
      </c>
      <c r="H77" s="3"/>
      <c r="I77" s="35"/>
    </row>
    <row r="78" spans="1:9" x14ac:dyDescent="0.35">
      <c r="A78" s="60"/>
      <c r="B78" s="60"/>
      <c r="C78" s="60"/>
      <c r="D78" s="12" t="s">
        <v>10</v>
      </c>
      <c r="E78" s="35">
        <v>1</v>
      </c>
      <c r="F78" s="8" t="s">
        <v>12</v>
      </c>
      <c r="G78" s="36">
        <f>SUM(G71:G77)</f>
        <v>27</v>
      </c>
      <c r="H78" s="3"/>
      <c r="I78" s="35"/>
    </row>
    <row r="79" spans="1:9" x14ac:dyDescent="0.35">
      <c r="A79" s="60"/>
      <c r="B79" s="60"/>
      <c r="C79" s="60"/>
      <c r="D79" s="31" t="s">
        <v>87</v>
      </c>
      <c r="E79" s="35">
        <v>3</v>
      </c>
      <c r="F79" s="11" t="s">
        <v>26</v>
      </c>
      <c r="G79" s="36">
        <v>4</v>
      </c>
      <c r="H79" s="3"/>
      <c r="I79" s="35"/>
    </row>
    <row r="80" spans="1:9" x14ac:dyDescent="0.35">
      <c r="A80" s="60"/>
      <c r="B80" s="60"/>
      <c r="C80" s="62"/>
      <c r="D80" s="32" t="s">
        <v>12</v>
      </c>
      <c r="E80" s="41">
        <f>SUM(E71:E79)</f>
        <v>62</v>
      </c>
      <c r="F80" s="1"/>
      <c r="G80" s="37"/>
      <c r="H80" s="2"/>
      <c r="I80" s="37"/>
    </row>
    <row r="81" spans="1:9" x14ac:dyDescent="0.35">
      <c r="A81" s="59">
        <v>11</v>
      </c>
      <c r="B81" s="59">
        <v>61</v>
      </c>
      <c r="C81" s="59">
        <v>0</v>
      </c>
      <c r="D81" s="12" t="s">
        <v>17</v>
      </c>
      <c r="E81" s="35">
        <v>6</v>
      </c>
      <c r="F81" t="s">
        <v>91</v>
      </c>
      <c r="G81" s="35">
        <v>1</v>
      </c>
      <c r="H81" s="3" t="s">
        <v>13</v>
      </c>
      <c r="I81" s="35">
        <v>61</v>
      </c>
    </row>
    <row r="82" spans="1:9" x14ac:dyDescent="0.35">
      <c r="A82" s="60"/>
      <c r="B82" s="60"/>
      <c r="C82" s="60"/>
      <c r="D82" s="12" t="s">
        <v>18</v>
      </c>
      <c r="E82" s="35">
        <v>20</v>
      </c>
      <c r="F82" t="s">
        <v>121</v>
      </c>
      <c r="G82" s="35">
        <v>1</v>
      </c>
      <c r="H82" s="3"/>
      <c r="I82" s="35"/>
    </row>
    <row r="83" spans="1:9" x14ac:dyDescent="0.35">
      <c r="A83" s="60"/>
      <c r="B83" s="60"/>
      <c r="C83" s="60"/>
      <c r="D83" s="12" t="s">
        <v>19</v>
      </c>
      <c r="E83" s="31">
        <v>6</v>
      </c>
      <c r="F83" s="28" t="s">
        <v>92</v>
      </c>
      <c r="G83" s="35">
        <v>1</v>
      </c>
      <c r="H83" s="3"/>
      <c r="I83" s="35"/>
    </row>
    <row r="84" spans="1:9" x14ac:dyDescent="0.35">
      <c r="A84" s="60"/>
      <c r="B84" s="60"/>
      <c r="C84" s="60"/>
      <c r="D84" s="12" t="s">
        <v>36</v>
      </c>
      <c r="E84" s="35">
        <v>21</v>
      </c>
      <c r="F84" t="s">
        <v>22</v>
      </c>
      <c r="G84" s="35">
        <v>8</v>
      </c>
      <c r="H84" s="3"/>
      <c r="I84" s="35"/>
    </row>
    <row r="85" spans="1:9" x14ac:dyDescent="0.35">
      <c r="A85" s="60"/>
      <c r="B85" s="60"/>
      <c r="C85" s="60"/>
      <c r="D85" s="12" t="s">
        <v>32</v>
      </c>
      <c r="E85" s="35">
        <v>1</v>
      </c>
      <c r="F85" s="8" t="s">
        <v>12</v>
      </c>
      <c r="G85" s="36">
        <f>SUM(G81:G84)</f>
        <v>11</v>
      </c>
      <c r="H85" s="3"/>
      <c r="I85" s="35"/>
    </row>
    <row r="86" spans="1:9" x14ac:dyDescent="0.35">
      <c r="A86" s="60"/>
      <c r="B86" s="60"/>
      <c r="C86" s="60"/>
      <c r="D86" s="12" t="s">
        <v>7</v>
      </c>
      <c r="E86" s="35">
        <v>1</v>
      </c>
      <c r="F86" s="11" t="s">
        <v>26</v>
      </c>
      <c r="G86" s="36">
        <v>3</v>
      </c>
      <c r="H86" s="3"/>
      <c r="I86" s="35"/>
    </row>
    <row r="87" spans="1:9" x14ac:dyDescent="0.35">
      <c r="A87" s="60"/>
      <c r="B87" s="60"/>
      <c r="C87" s="60"/>
      <c r="D87" s="29" t="s">
        <v>9</v>
      </c>
      <c r="E87" s="39">
        <v>1</v>
      </c>
      <c r="G87" s="35"/>
      <c r="H87" s="3"/>
      <c r="I87" s="35"/>
    </row>
    <row r="88" spans="1:9" x14ac:dyDescent="0.35">
      <c r="A88" s="60"/>
      <c r="B88" s="60"/>
      <c r="C88" s="60"/>
      <c r="D88" s="12" t="s">
        <v>10</v>
      </c>
      <c r="E88" s="35">
        <v>1</v>
      </c>
      <c r="G88" s="35"/>
      <c r="H88" s="3"/>
      <c r="I88" s="35"/>
    </row>
    <row r="89" spans="1:9" x14ac:dyDescent="0.35">
      <c r="A89" s="60"/>
      <c r="B89" s="60"/>
      <c r="C89" s="60"/>
      <c r="D89" s="31" t="s">
        <v>87</v>
      </c>
      <c r="E89" s="35">
        <v>1</v>
      </c>
      <c r="F89" s="6"/>
      <c r="G89" s="35"/>
      <c r="H89" s="3"/>
      <c r="I89" s="35"/>
    </row>
    <row r="90" spans="1:9" x14ac:dyDescent="0.35">
      <c r="A90" s="60"/>
      <c r="B90" s="60"/>
      <c r="C90" s="62"/>
      <c r="D90" s="32" t="s">
        <v>12</v>
      </c>
      <c r="E90" s="41">
        <f>SUM(E81:E89)</f>
        <v>58</v>
      </c>
      <c r="F90" s="1"/>
      <c r="G90" s="37"/>
      <c r="H90" s="2"/>
      <c r="I90" s="37"/>
    </row>
    <row r="91" spans="1:9" x14ac:dyDescent="0.35">
      <c r="A91" s="59">
        <v>12</v>
      </c>
      <c r="B91" s="59">
        <v>59</v>
      </c>
      <c r="C91" s="59">
        <v>0</v>
      </c>
      <c r="D91" s="46" t="s">
        <v>17</v>
      </c>
      <c r="E91" s="34">
        <v>2</v>
      </c>
      <c r="F91" s="27" t="s">
        <v>98</v>
      </c>
      <c r="G91" s="34">
        <v>1</v>
      </c>
      <c r="H91" s="26" t="s">
        <v>13</v>
      </c>
      <c r="I91" s="34">
        <v>23</v>
      </c>
    </row>
    <row r="92" spans="1:9" x14ac:dyDescent="0.35">
      <c r="A92" s="60"/>
      <c r="B92" s="60"/>
      <c r="C92" s="60"/>
      <c r="D92" s="12" t="s">
        <v>18</v>
      </c>
      <c r="E92" s="35">
        <v>9</v>
      </c>
      <c r="F92" s="28" t="s">
        <v>21</v>
      </c>
      <c r="G92" s="35">
        <v>3</v>
      </c>
      <c r="H92" s="3" t="s">
        <v>99</v>
      </c>
      <c r="I92" s="35">
        <v>36</v>
      </c>
    </row>
    <row r="93" spans="1:9" x14ac:dyDescent="0.35">
      <c r="A93" s="60"/>
      <c r="B93" s="60"/>
      <c r="C93" s="60"/>
      <c r="D93" s="12" t="s">
        <v>19</v>
      </c>
      <c r="E93" s="31">
        <v>4</v>
      </c>
      <c r="F93" s="42" t="s">
        <v>22</v>
      </c>
      <c r="G93" s="35">
        <v>2</v>
      </c>
      <c r="H93" s="3"/>
      <c r="I93" s="35"/>
    </row>
    <row r="94" spans="1:9" x14ac:dyDescent="0.35">
      <c r="A94" s="60"/>
      <c r="B94" s="60"/>
      <c r="C94" s="60"/>
      <c r="D94" s="12" t="s">
        <v>36</v>
      </c>
      <c r="E94" s="35">
        <v>7</v>
      </c>
      <c r="F94" s="8" t="s">
        <v>12</v>
      </c>
      <c r="G94" s="36">
        <f>SUM(G91:G93)</f>
        <v>6</v>
      </c>
      <c r="H94" s="3"/>
      <c r="I94" s="35"/>
    </row>
    <row r="95" spans="1:9" x14ac:dyDescent="0.35">
      <c r="A95" s="60"/>
      <c r="B95" s="60"/>
      <c r="C95" s="60"/>
      <c r="D95" s="12" t="s">
        <v>7</v>
      </c>
      <c r="E95" s="35">
        <v>11</v>
      </c>
      <c r="F95" s="11" t="s">
        <v>26</v>
      </c>
      <c r="G95" s="36">
        <v>1</v>
      </c>
      <c r="H95" s="3"/>
      <c r="I95" s="35"/>
    </row>
    <row r="96" spans="1:9" x14ac:dyDescent="0.35">
      <c r="A96" s="60"/>
      <c r="B96" s="60"/>
      <c r="C96" s="60"/>
      <c r="D96" s="12" t="s">
        <v>8</v>
      </c>
      <c r="E96" s="35">
        <v>24</v>
      </c>
      <c r="G96" s="35"/>
      <c r="H96" s="3"/>
      <c r="I96" s="35"/>
    </row>
    <row r="97" spans="1:9" x14ac:dyDescent="0.35">
      <c r="A97" s="60"/>
      <c r="B97" s="60"/>
      <c r="C97" s="60"/>
      <c r="D97" s="29" t="s">
        <v>9</v>
      </c>
      <c r="E97" s="39">
        <v>1</v>
      </c>
      <c r="G97" s="35"/>
      <c r="H97" s="3"/>
      <c r="I97" s="35"/>
    </row>
    <row r="98" spans="1:9" x14ac:dyDescent="0.35">
      <c r="A98" s="61"/>
      <c r="B98" s="61"/>
      <c r="C98" s="61"/>
      <c r="D98" s="32" t="s">
        <v>12</v>
      </c>
      <c r="E98" s="41">
        <f>SUM(E91:E97)</f>
        <v>58</v>
      </c>
      <c r="F98" s="1"/>
      <c r="G98" s="37"/>
      <c r="H98" s="2"/>
      <c r="I98" s="37"/>
    </row>
    <row r="99" spans="1:9" x14ac:dyDescent="0.35">
      <c r="A99" s="7" t="s">
        <v>12</v>
      </c>
      <c r="B99" s="7">
        <f>SUM(B2:B98)</f>
        <v>820</v>
      </c>
      <c r="D99" s="16"/>
      <c r="E99" s="16"/>
    </row>
  </sheetData>
  <mergeCells count="39">
    <mergeCell ref="A91:A98"/>
    <mergeCell ref="B91:B98"/>
    <mergeCell ref="C91:C98"/>
    <mergeCell ref="A60:A70"/>
    <mergeCell ref="B60:B70"/>
    <mergeCell ref="C60:C70"/>
    <mergeCell ref="A71:A80"/>
    <mergeCell ref="B71:B80"/>
    <mergeCell ref="C71:C80"/>
    <mergeCell ref="A81:A90"/>
    <mergeCell ref="B81:B90"/>
    <mergeCell ref="C81:C90"/>
    <mergeCell ref="A38:A48"/>
    <mergeCell ref="B38:B48"/>
    <mergeCell ref="C38:C48"/>
    <mergeCell ref="A49:A59"/>
    <mergeCell ref="B49:B59"/>
    <mergeCell ref="C49:C59"/>
    <mergeCell ref="D1:E1"/>
    <mergeCell ref="F1:G1"/>
    <mergeCell ref="H1:I1"/>
    <mergeCell ref="A30:A37"/>
    <mergeCell ref="B30:B37"/>
    <mergeCell ref="C30:C37"/>
    <mergeCell ref="A24:A29"/>
    <mergeCell ref="B24:B29"/>
    <mergeCell ref="C24:C29"/>
    <mergeCell ref="A18:A23"/>
    <mergeCell ref="B18:B23"/>
    <mergeCell ref="C18:C23"/>
    <mergeCell ref="A14:A17"/>
    <mergeCell ref="B14:B17"/>
    <mergeCell ref="C14:C17"/>
    <mergeCell ref="A8:A13"/>
    <mergeCell ref="B8:B13"/>
    <mergeCell ref="C8:C13"/>
    <mergeCell ref="A2:A7"/>
    <mergeCell ref="B2:B7"/>
    <mergeCell ref="C2:C7"/>
  </mergeCells>
  <pageMargins left="0.7" right="0.7" top="0.75" bottom="0.75" header="0.3" footer="0.3"/>
  <pageSetup paperSize="9" scale="8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47B3-3FBC-4271-A010-EFBF241D07F7}">
  <dimension ref="A1:L115"/>
  <sheetViews>
    <sheetView topLeftCell="A85" zoomScale="59" zoomScaleNormal="59" workbookViewId="0">
      <selection activeCell="G118" sqref="G118"/>
    </sheetView>
  </sheetViews>
  <sheetFormatPr defaultRowHeight="14.5" x14ac:dyDescent="0.35"/>
  <cols>
    <col min="1" max="1" width="5.08984375" customWidth="1"/>
    <col min="2" max="2" width="8.54296875" customWidth="1"/>
    <col min="3" max="3" width="9.26953125" customWidth="1"/>
    <col min="4" max="4" width="6.453125" style="12" customWidth="1"/>
    <col min="5" max="5" width="7.90625" customWidth="1"/>
    <col min="6" max="6" width="26.6328125" customWidth="1"/>
    <col min="7" max="7" width="9.26953125" customWidth="1"/>
    <col min="8" max="8" width="17.81640625" style="17" customWidth="1"/>
    <col min="9" max="9" width="4.08984375" customWidth="1"/>
  </cols>
  <sheetData>
    <row r="1" spans="1:12" x14ac:dyDescent="0.35">
      <c r="A1" s="21" t="s">
        <v>0</v>
      </c>
      <c r="B1" s="22" t="s">
        <v>1</v>
      </c>
      <c r="C1" s="22" t="s">
        <v>5</v>
      </c>
      <c r="D1" s="65" t="s">
        <v>2</v>
      </c>
      <c r="E1" s="66"/>
      <c r="F1" s="65" t="s">
        <v>3</v>
      </c>
      <c r="G1" s="66"/>
      <c r="H1" s="67" t="s">
        <v>4</v>
      </c>
      <c r="I1" s="66"/>
    </row>
    <row r="2" spans="1:12" x14ac:dyDescent="0.35">
      <c r="A2" s="68">
        <v>1</v>
      </c>
      <c r="B2" s="73">
        <v>100</v>
      </c>
      <c r="C2" s="73">
        <v>1</v>
      </c>
      <c r="D2" s="12" t="s">
        <v>58</v>
      </c>
      <c r="E2" s="34">
        <v>1</v>
      </c>
      <c r="F2" s="17" t="s">
        <v>54</v>
      </c>
      <c r="G2" s="34">
        <v>1</v>
      </c>
      <c r="H2" s="17" t="s">
        <v>60</v>
      </c>
      <c r="I2" s="45">
        <v>100</v>
      </c>
    </row>
    <row r="3" spans="1:12" x14ac:dyDescent="0.35">
      <c r="A3" s="69"/>
      <c r="B3" s="74"/>
      <c r="C3" s="74"/>
      <c r="D3" s="12" t="s">
        <v>17</v>
      </c>
      <c r="E3" s="35">
        <v>2</v>
      </c>
      <c r="F3" s="28" t="s">
        <v>55</v>
      </c>
      <c r="G3" s="35">
        <v>1</v>
      </c>
      <c r="I3" s="42"/>
    </row>
    <row r="4" spans="1:12" x14ac:dyDescent="0.35">
      <c r="A4" s="69"/>
      <c r="B4" s="74"/>
      <c r="C4" s="74"/>
      <c r="D4" s="12" t="s">
        <v>18</v>
      </c>
      <c r="E4" s="35">
        <v>15</v>
      </c>
      <c r="F4" s="17" t="s">
        <v>56</v>
      </c>
      <c r="G4" s="35">
        <v>1</v>
      </c>
      <c r="I4" s="42"/>
    </row>
    <row r="5" spans="1:12" x14ac:dyDescent="0.35">
      <c r="A5" s="69"/>
      <c r="B5" s="74"/>
      <c r="C5" s="74"/>
      <c r="D5" s="12" t="s">
        <v>19</v>
      </c>
      <c r="E5" s="35">
        <v>5</v>
      </c>
      <c r="F5" s="17" t="s">
        <v>21</v>
      </c>
      <c r="G5" s="35">
        <v>2</v>
      </c>
      <c r="I5" s="42"/>
    </row>
    <row r="6" spans="1:12" x14ac:dyDescent="0.35">
      <c r="A6" s="69"/>
      <c r="B6" s="74"/>
      <c r="C6" s="74"/>
      <c r="D6" s="12" t="s">
        <v>36</v>
      </c>
      <c r="E6" s="35">
        <v>25</v>
      </c>
      <c r="F6" s="17" t="s">
        <v>57</v>
      </c>
      <c r="G6" s="35">
        <v>1</v>
      </c>
      <c r="I6" s="42"/>
    </row>
    <row r="7" spans="1:12" x14ac:dyDescent="0.35">
      <c r="A7" s="69"/>
      <c r="B7" s="74"/>
      <c r="C7" s="74"/>
      <c r="D7" s="12" t="s">
        <v>37</v>
      </c>
      <c r="E7" s="35">
        <v>4</v>
      </c>
      <c r="F7" s="17" t="s">
        <v>59</v>
      </c>
      <c r="G7" s="35">
        <v>1</v>
      </c>
      <c r="I7" s="42"/>
    </row>
    <row r="8" spans="1:12" x14ac:dyDescent="0.35">
      <c r="A8" s="69"/>
      <c r="B8" s="74"/>
      <c r="C8" s="74"/>
      <c r="D8" s="12" t="s">
        <v>31</v>
      </c>
      <c r="E8" s="35">
        <v>4</v>
      </c>
      <c r="F8" s="17" t="s">
        <v>62</v>
      </c>
      <c r="G8" s="35">
        <v>2</v>
      </c>
      <c r="I8" s="42"/>
    </row>
    <row r="9" spans="1:12" x14ac:dyDescent="0.35">
      <c r="A9" s="69"/>
      <c r="B9" s="74"/>
      <c r="C9" s="74"/>
      <c r="D9" s="12" t="s">
        <v>32</v>
      </c>
      <c r="E9" s="35">
        <v>10</v>
      </c>
      <c r="F9" s="18" t="s">
        <v>12</v>
      </c>
      <c r="G9" s="36">
        <f>SUM(G2:G8)</f>
        <v>9</v>
      </c>
      <c r="I9" s="42"/>
    </row>
    <row r="10" spans="1:12" x14ac:dyDescent="0.35">
      <c r="A10" s="69"/>
      <c r="B10" s="74"/>
      <c r="C10" s="74"/>
      <c r="D10" s="12" t="s">
        <v>6</v>
      </c>
      <c r="E10" s="35">
        <v>8</v>
      </c>
      <c r="F10" s="18" t="s">
        <v>26</v>
      </c>
      <c r="G10" s="36">
        <v>5</v>
      </c>
      <c r="I10" s="42"/>
    </row>
    <row r="11" spans="1:12" x14ac:dyDescent="0.35">
      <c r="A11" s="69"/>
      <c r="B11" s="74"/>
      <c r="C11" s="74"/>
      <c r="D11" s="12" t="s">
        <v>7</v>
      </c>
      <c r="E11" s="35">
        <v>17</v>
      </c>
      <c r="F11" s="17"/>
      <c r="G11" s="35"/>
      <c r="I11" s="42"/>
      <c r="L11" t="s">
        <v>80</v>
      </c>
    </row>
    <row r="12" spans="1:12" x14ac:dyDescent="0.35">
      <c r="A12" s="69"/>
      <c r="B12" s="74"/>
      <c r="C12" s="74"/>
      <c r="D12" s="12" t="s">
        <v>8</v>
      </c>
      <c r="E12" s="35">
        <v>1</v>
      </c>
      <c r="F12" s="17"/>
      <c r="G12" s="35"/>
      <c r="I12" s="42"/>
    </row>
    <row r="13" spans="1:12" x14ac:dyDescent="0.35">
      <c r="A13" s="69"/>
      <c r="B13" s="74"/>
      <c r="C13" s="74"/>
      <c r="D13" s="12" t="s">
        <v>10</v>
      </c>
      <c r="E13" s="35">
        <v>3</v>
      </c>
      <c r="F13" s="17"/>
      <c r="G13" s="35"/>
      <c r="I13" s="42"/>
    </row>
    <row r="14" spans="1:12" x14ac:dyDescent="0.35">
      <c r="A14" s="70"/>
      <c r="B14" s="75"/>
      <c r="C14" s="75"/>
      <c r="D14" s="38" t="s">
        <v>12</v>
      </c>
      <c r="E14" s="38">
        <f>SUM(E2:E13)</f>
        <v>95</v>
      </c>
      <c r="F14" s="19"/>
      <c r="G14" s="37"/>
      <c r="H14" s="19"/>
      <c r="I14" s="44"/>
    </row>
    <row r="15" spans="1:12" x14ac:dyDescent="0.35">
      <c r="A15" s="69">
        <v>2</v>
      </c>
      <c r="B15" s="59">
        <v>100</v>
      </c>
      <c r="C15" s="59">
        <v>0</v>
      </c>
      <c r="D15" s="12" t="s">
        <v>58</v>
      </c>
      <c r="E15" s="35">
        <v>1</v>
      </c>
      <c r="F15" s="17" t="s">
        <v>61</v>
      </c>
      <c r="G15" s="35">
        <v>1</v>
      </c>
      <c r="H15" s="17" t="s">
        <v>60</v>
      </c>
      <c r="I15" s="42">
        <v>100</v>
      </c>
    </row>
    <row r="16" spans="1:12" x14ac:dyDescent="0.35">
      <c r="A16" s="69"/>
      <c r="B16" s="60"/>
      <c r="C16" s="60"/>
      <c r="D16" s="12" t="s">
        <v>17</v>
      </c>
      <c r="E16" s="35">
        <v>1</v>
      </c>
      <c r="F16" s="17" t="s">
        <v>88</v>
      </c>
      <c r="G16" s="35">
        <v>1</v>
      </c>
      <c r="I16" s="42"/>
    </row>
    <row r="17" spans="1:9" x14ac:dyDescent="0.35">
      <c r="A17" s="69"/>
      <c r="B17" s="60"/>
      <c r="C17" s="60"/>
      <c r="D17" s="12" t="s">
        <v>18</v>
      </c>
      <c r="E17" s="35">
        <v>8</v>
      </c>
      <c r="F17" s="17" t="s">
        <v>89</v>
      </c>
      <c r="G17" s="35">
        <v>1</v>
      </c>
      <c r="I17" s="42"/>
    </row>
    <row r="18" spans="1:9" x14ac:dyDescent="0.35">
      <c r="A18" s="69"/>
      <c r="B18" s="60"/>
      <c r="C18" s="60"/>
      <c r="D18" s="12" t="s">
        <v>36</v>
      </c>
      <c r="E18" s="35">
        <v>20</v>
      </c>
      <c r="F18" s="17" t="s">
        <v>90</v>
      </c>
      <c r="G18" s="35">
        <v>1</v>
      </c>
      <c r="I18" s="42"/>
    </row>
    <row r="19" spans="1:9" x14ac:dyDescent="0.35">
      <c r="A19" s="69"/>
      <c r="B19" s="60"/>
      <c r="C19" s="60"/>
      <c r="D19" s="12" t="s">
        <v>37</v>
      </c>
      <c r="E19" s="35">
        <v>3</v>
      </c>
      <c r="F19" s="17" t="s">
        <v>15</v>
      </c>
      <c r="G19" s="35">
        <v>2</v>
      </c>
      <c r="I19" s="42"/>
    </row>
    <row r="20" spans="1:9" x14ac:dyDescent="0.35">
      <c r="A20" s="69"/>
      <c r="B20" s="60"/>
      <c r="C20" s="60"/>
      <c r="D20" s="12" t="s">
        <v>31</v>
      </c>
      <c r="E20" s="35">
        <v>13</v>
      </c>
      <c r="F20" s="17" t="s">
        <v>22</v>
      </c>
      <c r="G20" s="35">
        <v>1</v>
      </c>
      <c r="I20" s="42"/>
    </row>
    <row r="21" spans="1:9" x14ac:dyDescent="0.35">
      <c r="A21" s="69"/>
      <c r="B21" s="60"/>
      <c r="C21" s="62"/>
      <c r="D21" s="31" t="s">
        <v>32</v>
      </c>
      <c r="E21" s="35">
        <v>8</v>
      </c>
      <c r="F21" s="18" t="s">
        <v>12</v>
      </c>
      <c r="G21" s="36">
        <f>SUM(G15:G20)</f>
        <v>7</v>
      </c>
      <c r="I21" s="42"/>
    </row>
    <row r="22" spans="1:9" x14ac:dyDescent="0.35">
      <c r="A22" s="69"/>
      <c r="B22" s="60"/>
      <c r="C22" s="60"/>
      <c r="D22" s="12" t="s">
        <v>6</v>
      </c>
      <c r="E22" s="35">
        <v>10</v>
      </c>
      <c r="F22" s="18" t="s">
        <v>40</v>
      </c>
      <c r="G22" s="36">
        <v>6</v>
      </c>
      <c r="I22" s="42"/>
    </row>
    <row r="23" spans="1:9" x14ac:dyDescent="0.35">
      <c r="A23" s="69"/>
      <c r="B23" s="60"/>
      <c r="C23" s="60"/>
      <c r="D23" s="12" t="s">
        <v>7</v>
      </c>
      <c r="E23" s="35">
        <v>19</v>
      </c>
      <c r="F23" s="17"/>
      <c r="G23" s="35"/>
      <c r="I23" s="42"/>
    </row>
    <row r="24" spans="1:9" x14ac:dyDescent="0.35">
      <c r="A24" s="69"/>
      <c r="B24" s="60"/>
      <c r="C24" s="60"/>
      <c r="D24" s="12" t="s">
        <v>8</v>
      </c>
      <c r="E24" s="35">
        <v>2</v>
      </c>
      <c r="F24" s="17"/>
      <c r="G24" s="35"/>
      <c r="I24" s="42"/>
    </row>
    <row r="25" spans="1:9" x14ac:dyDescent="0.35">
      <c r="A25" s="69"/>
      <c r="B25" s="60"/>
      <c r="C25" s="60"/>
      <c r="D25" s="12" t="s">
        <v>9</v>
      </c>
      <c r="E25" s="35">
        <v>1</v>
      </c>
      <c r="F25" s="17"/>
      <c r="G25" s="35"/>
      <c r="I25" s="42"/>
    </row>
    <row r="26" spans="1:9" x14ac:dyDescent="0.35">
      <c r="A26" s="69"/>
      <c r="B26" s="60"/>
      <c r="C26" s="60"/>
      <c r="D26" s="12" t="s">
        <v>10</v>
      </c>
      <c r="E26" s="35">
        <v>7</v>
      </c>
      <c r="F26" s="17"/>
      <c r="G26" s="35"/>
      <c r="I26" s="42"/>
    </row>
    <row r="27" spans="1:9" x14ac:dyDescent="0.35">
      <c r="A27" s="69"/>
      <c r="B27" s="60"/>
      <c r="C27" s="60"/>
      <c r="D27" s="12" t="s">
        <v>87</v>
      </c>
      <c r="E27" s="35">
        <v>1</v>
      </c>
      <c r="F27" s="17"/>
      <c r="G27" s="35"/>
      <c r="I27" s="42"/>
    </row>
    <row r="28" spans="1:9" x14ac:dyDescent="0.35">
      <c r="A28" s="70"/>
      <c r="B28" s="61"/>
      <c r="C28" s="61"/>
      <c r="D28" s="13" t="s">
        <v>12</v>
      </c>
      <c r="E28" s="38">
        <f>SUM(E15:E27)</f>
        <v>94</v>
      </c>
      <c r="F28" s="5"/>
      <c r="G28" s="37"/>
      <c r="H28" s="19"/>
      <c r="I28" s="44"/>
    </row>
    <row r="29" spans="1:9" x14ac:dyDescent="0.35">
      <c r="A29" s="69">
        <v>3</v>
      </c>
      <c r="B29" s="59">
        <v>101</v>
      </c>
      <c r="C29" s="59">
        <v>0</v>
      </c>
      <c r="E29" s="35"/>
      <c r="F29" s="17" t="s">
        <v>64</v>
      </c>
      <c r="G29" s="35">
        <v>1</v>
      </c>
      <c r="H29" s="17" t="s">
        <v>60</v>
      </c>
      <c r="I29" s="42">
        <v>66</v>
      </c>
    </row>
    <row r="30" spans="1:9" x14ac:dyDescent="0.35">
      <c r="A30" s="69"/>
      <c r="B30" s="60"/>
      <c r="C30" s="60"/>
      <c r="E30" s="35"/>
      <c r="F30" s="17" t="s">
        <v>65</v>
      </c>
      <c r="G30" s="35">
        <v>1</v>
      </c>
      <c r="H30" s="17" t="s">
        <v>30</v>
      </c>
      <c r="I30" s="42">
        <v>45</v>
      </c>
    </row>
    <row r="31" spans="1:9" x14ac:dyDescent="0.35">
      <c r="A31" s="69"/>
      <c r="B31" s="60"/>
      <c r="C31" s="60"/>
      <c r="E31" s="35"/>
      <c r="F31" s="17" t="s">
        <v>66</v>
      </c>
      <c r="G31" s="35">
        <v>1</v>
      </c>
      <c r="I31" s="42"/>
    </row>
    <row r="32" spans="1:9" x14ac:dyDescent="0.35">
      <c r="A32" s="69"/>
      <c r="B32" s="60"/>
      <c r="C32" s="60"/>
      <c r="E32" s="35"/>
      <c r="F32" s="17" t="s">
        <v>67</v>
      </c>
      <c r="G32" s="35">
        <v>2</v>
      </c>
      <c r="I32" s="42"/>
    </row>
    <row r="33" spans="1:10" x14ac:dyDescent="0.35">
      <c r="A33" s="69"/>
      <c r="B33" s="60"/>
      <c r="C33" s="60"/>
      <c r="E33" s="35"/>
      <c r="F33" s="17" t="s">
        <v>68</v>
      </c>
      <c r="G33" s="35">
        <v>1</v>
      </c>
      <c r="I33" s="42"/>
    </row>
    <row r="34" spans="1:10" x14ac:dyDescent="0.35">
      <c r="A34" s="69"/>
      <c r="B34" s="60"/>
      <c r="C34" s="60"/>
      <c r="E34" s="35"/>
      <c r="F34" s="17" t="s">
        <v>62</v>
      </c>
      <c r="G34" s="35">
        <v>2</v>
      </c>
      <c r="I34" s="42"/>
    </row>
    <row r="35" spans="1:10" x14ac:dyDescent="0.35">
      <c r="A35" s="70"/>
      <c r="B35" s="61"/>
      <c r="C35" s="61"/>
      <c r="D35" s="4"/>
      <c r="E35" s="37"/>
      <c r="F35" s="5"/>
      <c r="G35" s="37"/>
      <c r="H35" s="19"/>
      <c r="I35" s="44"/>
    </row>
    <row r="36" spans="1:10" x14ac:dyDescent="0.35">
      <c r="A36" s="69">
        <v>4</v>
      </c>
      <c r="B36" s="59">
        <v>93</v>
      </c>
      <c r="C36" s="59">
        <v>0</v>
      </c>
      <c r="D36" s="12" t="s">
        <v>17</v>
      </c>
      <c r="E36" s="35">
        <v>1</v>
      </c>
      <c r="F36" s="17" t="s">
        <v>15</v>
      </c>
      <c r="G36" s="35">
        <v>4</v>
      </c>
      <c r="H36" s="17" t="s">
        <v>13</v>
      </c>
      <c r="I36" s="42">
        <v>10</v>
      </c>
    </row>
    <row r="37" spans="1:10" x14ac:dyDescent="0.35">
      <c r="A37" s="69"/>
      <c r="B37" s="60"/>
      <c r="C37" s="60"/>
      <c r="D37" s="12" t="s">
        <v>18</v>
      </c>
      <c r="E37" s="35">
        <v>3</v>
      </c>
      <c r="F37" s="17" t="s">
        <v>21</v>
      </c>
      <c r="G37" s="35">
        <v>6</v>
      </c>
      <c r="H37" s="17" t="s">
        <v>30</v>
      </c>
      <c r="I37" s="42">
        <v>83</v>
      </c>
    </row>
    <row r="38" spans="1:10" x14ac:dyDescent="0.35">
      <c r="A38" s="69"/>
      <c r="B38" s="60"/>
      <c r="C38" s="60"/>
      <c r="D38" s="12" t="s">
        <v>31</v>
      </c>
      <c r="E38" s="35">
        <v>1</v>
      </c>
      <c r="F38" s="17" t="s">
        <v>69</v>
      </c>
      <c r="G38" s="35">
        <v>1</v>
      </c>
      <c r="I38" s="42"/>
    </row>
    <row r="39" spans="1:10" x14ac:dyDescent="0.35">
      <c r="A39" s="69"/>
      <c r="B39" s="60"/>
      <c r="C39" s="60"/>
      <c r="D39" s="12" t="s">
        <v>6</v>
      </c>
      <c r="E39" s="35">
        <v>5</v>
      </c>
      <c r="F39" s="7" t="s">
        <v>27</v>
      </c>
      <c r="G39" s="36">
        <v>11</v>
      </c>
      <c r="I39" s="42"/>
    </row>
    <row r="40" spans="1:10" x14ac:dyDescent="0.35">
      <c r="A40" s="69"/>
      <c r="B40" s="60"/>
      <c r="C40" s="60"/>
      <c r="D40" s="12" t="s">
        <v>7</v>
      </c>
      <c r="E40" s="35">
        <v>42</v>
      </c>
      <c r="F40" s="7" t="s">
        <v>26</v>
      </c>
      <c r="G40" s="36">
        <v>5</v>
      </c>
      <c r="I40" s="42"/>
    </row>
    <row r="41" spans="1:10" x14ac:dyDescent="0.35">
      <c r="A41" s="69"/>
      <c r="B41" s="60"/>
      <c r="C41" s="60"/>
      <c r="D41" s="12" t="s">
        <v>8</v>
      </c>
      <c r="E41" s="35">
        <v>26</v>
      </c>
      <c r="F41" s="17"/>
      <c r="G41" s="35"/>
      <c r="I41" s="42"/>
    </row>
    <row r="42" spans="1:10" x14ac:dyDescent="0.35">
      <c r="A42" s="69"/>
      <c r="B42" s="60"/>
      <c r="C42" s="60"/>
      <c r="D42" s="12" t="s">
        <v>9</v>
      </c>
      <c r="E42" s="35">
        <v>5</v>
      </c>
      <c r="F42" s="17"/>
      <c r="G42" s="35"/>
      <c r="I42" s="42"/>
    </row>
    <row r="43" spans="1:10" x14ac:dyDescent="0.35">
      <c r="A43" s="69"/>
      <c r="B43" s="60"/>
      <c r="C43" s="60"/>
      <c r="D43" s="12" t="s">
        <v>10</v>
      </c>
      <c r="E43" s="35">
        <v>2</v>
      </c>
      <c r="F43" s="17"/>
      <c r="G43" s="35"/>
      <c r="I43" s="42"/>
    </row>
    <row r="44" spans="1:10" x14ac:dyDescent="0.35">
      <c r="A44" s="69"/>
      <c r="B44" s="60"/>
      <c r="C44" s="60"/>
      <c r="D44" s="12" t="s">
        <v>11</v>
      </c>
      <c r="E44" s="35">
        <v>2</v>
      </c>
      <c r="F44" s="17"/>
      <c r="G44" s="35"/>
      <c r="I44" s="42"/>
    </row>
    <row r="45" spans="1:10" x14ac:dyDescent="0.35">
      <c r="A45" s="69"/>
      <c r="B45" s="60"/>
      <c r="C45" s="60"/>
      <c r="D45" s="12" t="s">
        <v>28</v>
      </c>
      <c r="E45" s="35">
        <v>1</v>
      </c>
      <c r="F45" s="17"/>
      <c r="G45" s="35"/>
      <c r="I45" s="42"/>
    </row>
    <row r="46" spans="1:10" x14ac:dyDescent="0.35">
      <c r="A46" s="70"/>
      <c r="B46" s="61"/>
      <c r="C46" s="61"/>
      <c r="D46" s="13" t="s">
        <v>12</v>
      </c>
      <c r="E46" s="38">
        <f>SUM(E36:E45)</f>
        <v>88</v>
      </c>
      <c r="F46" s="5"/>
      <c r="G46" s="37"/>
      <c r="H46" s="19"/>
      <c r="I46" s="44"/>
      <c r="J46" s="3"/>
    </row>
    <row r="47" spans="1:10" x14ac:dyDescent="0.35">
      <c r="A47" s="68">
        <v>5</v>
      </c>
      <c r="B47" s="59">
        <v>44</v>
      </c>
      <c r="C47" s="59">
        <v>1</v>
      </c>
      <c r="D47" s="12" t="s">
        <v>6</v>
      </c>
      <c r="E47" s="35">
        <v>1</v>
      </c>
      <c r="F47" t="s">
        <v>14</v>
      </c>
      <c r="G47" s="35">
        <v>1</v>
      </c>
      <c r="H47" s="17" t="s">
        <v>13</v>
      </c>
      <c r="I47" s="42">
        <v>44</v>
      </c>
    </row>
    <row r="48" spans="1:10" x14ac:dyDescent="0.35">
      <c r="A48" s="69"/>
      <c r="B48" s="60"/>
      <c r="C48" s="60"/>
      <c r="D48" s="12" t="s">
        <v>7</v>
      </c>
      <c r="E48" s="35">
        <v>10</v>
      </c>
      <c r="F48" t="s">
        <v>15</v>
      </c>
      <c r="G48" s="35">
        <v>9</v>
      </c>
      <c r="I48" s="42"/>
    </row>
    <row r="49" spans="1:9" x14ac:dyDescent="0.35">
      <c r="A49" s="69"/>
      <c r="B49" s="60"/>
      <c r="C49" s="60"/>
      <c r="D49" s="12" t="s">
        <v>8</v>
      </c>
      <c r="E49" s="35">
        <v>5</v>
      </c>
      <c r="F49" t="s">
        <v>16</v>
      </c>
      <c r="G49" s="35">
        <v>3</v>
      </c>
      <c r="I49" s="42"/>
    </row>
    <row r="50" spans="1:9" x14ac:dyDescent="0.35">
      <c r="A50" s="69"/>
      <c r="B50" s="60"/>
      <c r="C50" s="60"/>
      <c r="D50" s="12" t="s">
        <v>9</v>
      </c>
      <c r="E50" s="35">
        <v>10</v>
      </c>
      <c r="F50" s="7" t="s">
        <v>27</v>
      </c>
      <c r="G50" s="36">
        <f>SUM(G47:G49)</f>
        <v>13</v>
      </c>
      <c r="I50" s="42"/>
    </row>
    <row r="51" spans="1:9" x14ac:dyDescent="0.35">
      <c r="A51" s="69"/>
      <c r="B51" s="60"/>
      <c r="C51" s="60"/>
      <c r="D51" s="12" t="s">
        <v>10</v>
      </c>
      <c r="E51" s="35">
        <v>3</v>
      </c>
      <c r="F51" s="7" t="s">
        <v>26</v>
      </c>
      <c r="G51" s="36">
        <v>10</v>
      </c>
      <c r="I51" s="42"/>
    </row>
    <row r="52" spans="1:9" x14ac:dyDescent="0.35">
      <c r="A52" s="69"/>
      <c r="B52" s="60"/>
      <c r="C52" s="60"/>
      <c r="D52" s="12" t="s">
        <v>11</v>
      </c>
      <c r="E52" s="35">
        <v>3</v>
      </c>
      <c r="G52" s="35"/>
      <c r="I52" s="42"/>
    </row>
    <row r="53" spans="1:9" x14ac:dyDescent="0.35">
      <c r="A53" s="69"/>
      <c r="B53" s="60"/>
      <c r="C53" s="60"/>
      <c r="D53" s="13" t="s">
        <v>12</v>
      </c>
      <c r="E53" s="38">
        <f>SUM(E47:E52)</f>
        <v>32</v>
      </c>
      <c r="F53" s="2"/>
      <c r="G53" s="37"/>
      <c r="H53" s="20"/>
      <c r="I53" s="44"/>
    </row>
    <row r="54" spans="1:9" x14ac:dyDescent="0.35">
      <c r="A54" s="68">
        <v>6</v>
      </c>
      <c r="B54" s="59">
        <v>100</v>
      </c>
      <c r="C54" s="59">
        <v>1</v>
      </c>
      <c r="D54" s="12" t="s">
        <v>19</v>
      </c>
      <c r="E54" s="34">
        <v>1</v>
      </c>
      <c r="F54" t="s">
        <v>70</v>
      </c>
      <c r="G54" s="35">
        <v>1</v>
      </c>
      <c r="H54" s="17" t="s">
        <v>60</v>
      </c>
      <c r="I54" s="42">
        <v>90</v>
      </c>
    </row>
    <row r="55" spans="1:9" x14ac:dyDescent="0.35">
      <c r="A55" s="69"/>
      <c r="B55" s="60"/>
      <c r="C55" s="60"/>
      <c r="D55" s="12" t="s">
        <v>36</v>
      </c>
      <c r="E55" s="35">
        <v>11</v>
      </c>
      <c r="F55" t="s">
        <v>22</v>
      </c>
      <c r="G55" s="35">
        <v>1</v>
      </c>
      <c r="H55" s="17" t="s">
        <v>30</v>
      </c>
      <c r="I55" s="42">
        <v>10</v>
      </c>
    </row>
    <row r="56" spans="1:9" x14ac:dyDescent="0.35">
      <c r="A56" s="69"/>
      <c r="B56" s="60"/>
      <c r="C56" s="60"/>
      <c r="D56" s="12" t="s">
        <v>37</v>
      </c>
      <c r="E56" s="35">
        <v>4</v>
      </c>
      <c r="F56" t="s">
        <v>71</v>
      </c>
      <c r="G56" s="35">
        <v>1</v>
      </c>
      <c r="I56" s="42"/>
    </row>
    <row r="57" spans="1:9" x14ac:dyDescent="0.35">
      <c r="A57" s="69"/>
      <c r="B57" s="60"/>
      <c r="C57" s="60"/>
      <c r="D57" s="12" t="s">
        <v>31</v>
      </c>
      <c r="E57" s="35">
        <v>22</v>
      </c>
      <c r="F57" t="s">
        <v>59</v>
      </c>
      <c r="G57" s="35">
        <v>1</v>
      </c>
      <c r="I57" s="42"/>
    </row>
    <row r="58" spans="1:9" x14ac:dyDescent="0.35">
      <c r="A58" s="69"/>
      <c r="B58" s="60"/>
      <c r="C58" s="60"/>
      <c r="D58" s="12" t="s">
        <v>32</v>
      </c>
      <c r="E58" s="35">
        <v>13</v>
      </c>
      <c r="F58" s="7" t="s">
        <v>27</v>
      </c>
      <c r="G58" s="36">
        <v>4</v>
      </c>
      <c r="I58" s="42"/>
    </row>
    <row r="59" spans="1:9" x14ac:dyDescent="0.35">
      <c r="A59" s="69"/>
      <c r="B59" s="60"/>
      <c r="C59" s="60"/>
      <c r="D59" s="12" t="s">
        <v>6</v>
      </c>
      <c r="E59" s="35">
        <v>21</v>
      </c>
      <c r="F59" s="7" t="s">
        <v>26</v>
      </c>
      <c r="G59" s="36">
        <v>3</v>
      </c>
      <c r="I59" s="42"/>
    </row>
    <row r="60" spans="1:9" x14ac:dyDescent="0.35">
      <c r="A60" s="69"/>
      <c r="B60" s="60"/>
      <c r="C60" s="60"/>
      <c r="D60" s="12" t="s">
        <v>7</v>
      </c>
      <c r="E60" s="35">
        <v>16</v>
      </c>
      <c r="G60" s="35"/>
      <c r="I60" s="42"/>
    </row>
    <row r="61" spans="1:9" x14ac:dyDescent="0.35">
      <c r="A61" s="69"/>
      <c r="B61" s="60"/>
      <c r="C61" s="60"/>
      <c r="D61" s="12" t="s">
        <v>8</v>
      </c>
      <c r="E61" s="35">
        <v>8</v>
      </c>
      <c r="G61" s="35"/>
      <c r="I61" s="42"/>
    </row>
    <row r="62" spans="1:9" x14ac:dyDescent="0.35">
      <c r="A62" s="69"/>
      <c r="B62" s="60"/>
      <c r="C62" s="60"/>
      <c r="D62" s="12" t="s">
        <v>10</v>
      </c>
      <c r="E62" s="35">
        <v>1</v>
      </c>
      <c r="G62" s="35"/>
      <c r="I62" s="42"/>
    </row>
    <row r="63" spans="1:9" x14ac:dyDescent="0.35">
      <c r="A63" s="70"/>
      <c r="B63" s="61"/>
      <c r="C63" s="61"/>
      <c r="D63" s="57" t="s">
        <v>12</v>
      </c>
      <c r="E63" s="38">
        <f>SUM(E54:E62)</f>
        <v>97</v>
      </c>
      <c r="F63" s="10"/>
      <c r="G63" s="38"/>
      <c r="H63" s="20"/>
      <c r="I63" s="44"/>
    </row>
    <row r="64" spans="1:9" x14ac:dyDescent="0.35">
      <c r="A64" s="68">
        <v>7</v>
      </c>
      <c r="B64" s="59">
        <v>102</v>
      </c>
      <c r="C64" s="59">
        <v>0</v>
      </c>
      <c r="D64" s="12" t="s">
        <v>18</v>
      </c>
      <c r="E64" s="35">
        <v>2</v>
      </c>
      <c r="F64" t="s">
        <v>72</v>
      </c>
      <c r="G64" s="35">
        <v>1</v>
      </c>
      <c r="H64" s="17" t="s">
        <v>60</v>
      </c>
      <c r="I64" s="42">
        <v>102</v>
      </c>
    </row>
    <row r="65" spans="1:9" x14ac:dyDescent="0.35">
      <c r="A65" s="69"/>
      <c r="B65" s="60"/>
      <c r="C65" s="60"/>
      <c r="D65" s="12" t="s">
        <v>19</v>
      </c>
      <c r="E65" s="35">
        <v>2</v>
      </c>
      <c r="F65" t="s">
        <v>73</v>
      </c>
      <c r="G65" s="35">
        <v>1</v>
      </c>
      <c r="I65" s="42"/>
    </row>
    <row r="66" spans="1:9" x14ac:dyDescent="0.35">
      <c r="A66" s="69"/>
      <c r="B66" s="60"/>
      <c r="C66" s="60"/>
      <c r="D66" s="12" t="s">
        <v>36</v>
      </c>
      <c r="E66" s="35">
        <v>10</v>
      </c>
      <c r="F66" t="s">
        <v>16</v>
      </c>
      <c r="G66" s="35">
        <v>1</v>
      </c>
      <c r="I66" s="42"/>
    </row>
    <row r="67" spans="1:9" x14ac:dyDescent="0.35">
      <c r="A67" s="69"/>
      <c r="B67" s="60"/>
      <c r="C67" s="60"/>
      <c r="D67" s="12" t="s">
        <v>37</v>
      </c>
      <c r="E67" s="35">
        <v>5</v>
      </c>
      <c r="F67" t="s">
        <v>134</v>
      </c>
      <c r="G67" s="35">
        <v>1</v>
      </c>
      <c r="I67" s="42"/>
    </row>
    <row r="68" spans="1:9" x14ac:dyDescent="0.35">
      <c r="A68" s="69"/>
      <c r="B68" s="60"/>
      <c r="C68" s="60"/>
      <c r="D68" s="12" t="s">
        <v>31</v>
      </c>
      <c r="E68" s="35">
        <v>31</v>
      </c>
      <c r="F68" s="7" t="s">
        <v>27</v>
      </c>
      <c r="G68" s="36">
        <v>4</v>
      </c>
      <c r="I68" s="42"/>
    </row>
    <row r="69" spans="1:9" x14ac:dyDescent="0.35">
      <c r="A69" s="69"/>
      <c r="B69" s="60"/>
      <c r="C69" s="60"/>
      <c r="D69" s="12" t="s">
        <v>32</v>
      </c>
      <c r="E69" s="35">
        <v>16</v>
      </c>
      <c r="F69" s="11" t="s">
        <v>26</v>
      </c>
      <c r="G69" s="36">
        <v>3</v>
      </c>
      <c r="I69" s="42"/>
    </row>
    <row r="70" spans="1:9" x14ac:dyDescent="0.35">
      <c r="A70" s="69"/>
      <c r="B70" s="60"/>
      <c r="C70" s="60"/>
      <c r="D70" s="12" t="s">
        <v>6</v>
      </c>
      <c r="E70" s="35">
        <v>17</v>
      </c>
      <c r="F70" s="11"/>
      <c r="G70" s="36"/>
      <c r="I70" s="42"/>
    </row>
    <row r="71" spans="1:9" x14ac:dyDescent="0.35">
      <c r="A71" s="69"/>
      <c r="B71" s="60"/>
      <c r="C71" s="60"/>
      <c r="D71" s="12" t="s">
        <v>7</v>
      </c>
      <c r="E71" s="35">
        <v>13</v>
      </c>
      <c r="F71" s="11"/>
      <c r="G71" s="36"/>
      <c r="I71" s="42"/>
    </row>
    <row r="72" spans="1:9" x14ac:dyDescent="0.35">
      <c r="A72" s="69"/>
      <c r="B72" s="60"/>
      <c r="C72" s="60"/>
      <c r="D72" s="12" t="s">
        <v>9</v>
      </c>
      <c r="E72" s="35">
        <v>1</v>
      </c>
      <c r="F72" s="11"/>
      <c r="G72" s="36"/>
      <c r="I72" s="42"/>
    </row>
    <row r="73" spans="1:9" x14ac:dyDescent="0.35">
      <c r="A73" s="69"/>
      <c r="B73" s="60"/>
      <c r="C73" s="60"/>
      <c r="D73" s="12" t="s">
        <v>10</v>
      </c>
      <c r="E73" s="35">
        <v>2</v>
      </c>
      <c r="F73" s="11"/>
      <c r="G73" s="36"/>
      <c r="I73" s="42"/>
    </row>
    <row r="74" spans="1:9" x14ac:dyDescent="0.35">
      <c r="A74" s="70"/>
      <c r="B74" s="61"/>
      <c r="C74" s="61"/>
      <c r="D74" s="13" t="s">
        <v>12</v>
      </c>
      <c r="E74" s="38">
        <v>1</v>
      </c>
      <c r="F74" s="2"/>
      <c r="G74" s="38"/>
      <c r="H74" s="20"/>
      <c r="I74" s="44"/>
    </row>
    <row r="75" spans="1:9" x14ac:dyDescent="0.35">
      <c r="A75" s="68">
        <v>8</v>
      </c>
      <c r="B75" s="59">
        <v>44</v>
      </c>
      <c r="C75" s="59">
        <v>0</v>
      </c>
      <c r="D75" s="12" t="s">
        <v>18</v>
      </c>
      <c r="E75" s="35">
        <v>1</v>
      </c>
      <c r="F75" t="s">
        <v>74</v>
      </c>
      <c r="G75" s="35">
        <v>1</v>
      </c>
      <c r="H75" s="17" t="s">
        <v>13</v>
      </c>
      <c r="I75" s="42">
        <v>13</v>
      </c>
    </row>
    <row r="76" spans="1:9" x14ac:dyDescent="0.35">
      <c r="A76" s="69"/>
      <c r="B76" s="60"/>
      <c r="C76" s="60"/>
      <c r="D76" s="12" t="s">
        <v>6</v>
      </c>
      <c r="E76" s="35">
        <v>1</v>
      </c>
      <c r="F76" t="s">
        <v>63</v>
      </c>
      <c r="G76" s="35">
        <v>2</v>
      </c>
      <c r="H76" s="17" t="s">
        <v>75</v>
      </c>
      <c r="I76" s="42">
        <v>2</v>
      </c>
    </row>
    <row r="77" spans="1:9" x14ac:dyDescent="0.35">
      <c r="A77" s="69"/>
      <c r="B77" s="60"/>
      <c r="C77" s="60"/>
      <c r="D77" s="12" t="s">
        <v>7</v>
      </c>
      <c r="E77" s="35">
        <v>3</v>
      </c>
      <c r="F77" s="7" t="s">
        <v>27</v>
      </c>
      <c r="G77" s="36">
        <v>3</v>
      </c>
      <c r="H77" s="17" t="s">
        <v>25</v>
      </c>
      <c r="I77" s="42">
        <v>29</v>
      </c>
    </row>
    <row r="78" spans="1:9" x14ac:dyDescent="0.35">
      <c r="A78" s="69"/>
      <c r="B78" s="60"/>
      <c r="C78" s="60"/>
      <c r="D78" s="12" t="s">
        <v>8</v>
      </c>
      <c r="E78" s="35">
        <v>2</v>
      </c>
      <c r="F78" s="11" t="s">
        <v>26</v>
      </c>
      <c r="G78" s="36">
        <v>3</v>
      </c>
      <c r="I78" s="42"/>
    </row>
    <row r="79" spans="1:9" x14ac:dyDescent="0.35">
      <c r="A79" s="69"/>
      <c r="B79" s="60"/>
      <c r="C79" s="60"/>
      <c r="D79" s="12" t="s">
        <v>9</v>
      </c>
      <c r="E79" s="35">
        <v>14</v>
      </c>
      <c r="G79" s="35"/>
      <c r="I79" s="42"/>
    </row>
    <row r="80" spans="1:9" x14ac:dyDescent="0.35">
      <c r="A80" s="69"/>
      <c r="B80" s="60"/>
      <c r="C80" s="60"/>
      <c r="D80" s="12" t="s">
        <v>11</v>
      </c>
      <c r="E80" s="35">
        <v>18</v>
      </c>
      <c r="G80" s="35"/>
      <c r="I80" s="42"/>
    </row>
    <row r="81" spans="1:10" x14ac:dyDescent="0.35">
      <c r="A81" s="69"/>
      <c r="B81" s="60"/>
      <c r="C81" s="60"/>
      <c r="D81" s="12" t="s">
        <v>20</v>
      </c>
      <c r="E81" s="35">
        <v>2</v>
      </c>
      <c r="G81" s="35"/>
      <c r="I81" s="42"/>
    </row>
    <row r="82" spans="1:10" x14ac:dyDescent="0.35">
      <c r="A82" s="70"/>
      <c r="B82" s="61"/>
      <c r="C82" s="61"/>
      <c r="D82" s="13" t="s">
        <v>12</v>
      </c>
      <c r="E82" s="38">
        <f>SUM(E75:E81)</f>
        <v>41</v>
      </c>
      <c r="F82" s="2"/>
      <c r="G82" s="37"/>
      <c r="H82" s="20"/>
      <c r="I82" s="44"/>
    </row>
    <row r="83" spans="1:10" x14ac:dyDescent="0.35">
      <c r="A83" s="68">
        <v>9</v>
      </c>
      <c r="B83" s="59">
        <v>35</v>
      </c>
      <c r="C83" s="59">
        <v>0</v>
      </c>
      <c r="D83" s="12" t="s">
        <v>17</v>
      </c>
      <c r="E83" s="35">
        <v>4</v>
      </c>
      <c r="F83" t="s">
        <v>21</v>
      </c>
      <c r="G83" s="35">
        <v>8</v>
      </c>
      <c r="H83" s="17" t="s">
        <v>24</v>
      </c>
      <c r="I83" s="42">
        <v>15</v>
      </c>
    </row>
    <row r="84" spans="1:10" x14ac:dyDescent="0.35">
      <c r="A84" s="69"/>
      <c r="B84" s="60"/>
      <c r="C84" s="60"/>
      <c r="D84" s="12" t="s">
        <v>18</v>
      </c>
      <c r="E84" s="35">
        <v>8</v>
      </c>
      <c r="F84" t="s">
        <v>22</v>
      </c>
      <c r="G84" s="35">
        <v>5</v>
      </c>
      <c r="H84" s="17" t="s">
        <v>25</v>
      </c>
      <c r="I84" s="42">
        <v>20</v>
      </c>
    </row>
    <row r="85" spans="1:10" x14ac:dyDescent="0.35">
      <c r="A85" s="69"/>
      <c r="B85" s="60"/>
      <c r="C85" s="60"/>
      <c r="D85" s="12" t="s">
        <v>19</v>
      </c>
      <c r="E85" s="35">
        <v>2</v>
      </c>
      <c r="F85" t="s">
        <v>23</v>
      </c>
      <c r="G85" s="35">
        <v>1</v>
      </c>
      <c r="I85" s="42"/>
    </row>
    <row r="86" spans="1:10" x14ac:dyDescent="0.35">
      <c r="A86" s="69"/>
      <c r="B86" s="60"/>
      <c r="C86" s="60"/>
      <c r="D86" s="12" t="s">
        <v>9</v>
      </c>
      <c r="E86" s="35">
        <v>5</v>
      </c>
      <c r="F86" s="7" t="s">
        <v>12</v>
      </c>
      <c r="G86" s="36">
        <f>SUM(G83:G85)</f>
        <v>14</v>
      </c>
      <c r="I86" s="42"/>
    </row>
    <row r="87" spans="1:10" x14ac:dyDescent="0.35">
      <c r="A87" s="69"/>
      <c r="B87" s="60"/>
      <c r="C87" s="60"/>
      <c r="D87" s="12" t="s">
        <v>10</v>
      </c>
      <c r="E87" s="35">
        <v>2</v>
      </c>
      <c r="F87" s="7" t="s">
        <v>26</v>
      </c>
      <c r="G87" s="36">
        <v>1</v>
      </c>
      <c r="I87" s="42"/>
    </row>
    <row r="88" spans="1:10" x14ac:dyDescent="0.35">
      <c r="A88" s="69"/>
      <c r="B88" s="60"/>
      <c r="C88" s="60"/>
      <c r="D88" s="12" t="s">
        <v>11</v>
      </c>
      <c r="E88" s="35">
        <v>11</v>
      </c>
      <c r="G88" s="35"/>
      <c r="I88" s="42"/>
    </row>
    <row r="89" spans="1:10" x14ac:dyDescent="0.35">
      <c r="A89" s="69"/>
      <c r="B89" s="60"/>
      <c r="C89" s="60"/>
      <c r="D89" s="12" t="s">
        <v>20</v>
      </c>
      <c r="E89" s="35">
        <v>2</v>
      </c>
      <c r="G89" s="35"/>
      <c r="I89" s="42"/>
    </row>
    <row r="90" spans="1:10" x14ac:dyDescent="0.35">
      <c r="A90" s="70"/>
      <c r="B90" s="61"/>
      <c r="C90" s="61"/>
      <c r="D90" s="57" t="s">
        <v>12</v>
      </c>
      <c r="E90" s="38">
        <f>SUM(E83:E89)</f>
        <v>34</v>
      </c>
      <c r="F90" s="1"/>
      <c r="G90" s="37"/>
      <c r="H90" s="19"/>
      <c r="I90" s="44"/>
    </row>
    <row r="91" spans="1:10" x14ac:dyDescent="0.35">
      <c r="A91" s="68">
        <v>10</v>
      </c>
      <c r="B91" s="59">
        <v>35</v>
      </c>
      <c r="C91" s="59">
        <v>0</v>
      </c>
      <c r="D91" s="12" t="s">
        <v>17</v>
      </c>
      <c r="E91" s="35">
        <v>8</v>
      </c>
      <c r="F91" s="26" t="s">
        <v>76</v>
      </c>
      <c r="G91" s="35">
        <v>1</v>
      </c>
      <c r="H91" s="17" t="s">
        <v>24</v>
      </c>
      <c r="I91" s="42">
        <v>20</v>
      </c>
    </row>
    <row r="92" spans="1:10" x14ac:dyDescent="0.35">
      <c r="A92" s="69"/>
      <c r="B92" s="60"/>
      <c r="C92" s="60"/>
      <c r="D92" s="12" t="s">
        <v>18</v>
      </c>
      <c r="E92" s="35">
        <v>8</v>
      </c>
      <c r="F92" s="3" t="s">
        <v>22</v>
      </c>
      <c r="G92" s="35">
        <v>5</v>
      </c>
      <c r="H92" s="17" t="s">
        <v>25</v>
      </c>
      <c r="I92" s="42">
        <v>12</v>
      </c>
    </row>
    <row r="93" spans="1:10" x14ac:dyDescent="0.35">
      <c r="A93" s="69"/>
      <c r="B93" s="60"/>
      <c r="C93" s="60"/>
      <c r="D93" s="12" t="s">
        <v>19</v>
      </c>
      <c r="E93" s="35">
        <v>3</v>
      </c>
      <c r="F93" s="3" t="s">
        <v>21</v>
      </c>
      <c r="G93" s="35" t="s">
        <v>136</v>
      </c>
      <c r="H93" s="17" t="s">
        <v>30</v>
      </c>
      <c r="I93" s="42">
        <v>2</v>
      </c>
    </row>
    <row r="94" spans="1:10" x14ac:dyDescent="0.35">
      <c r="A94" s="69"/>
      <c r="B94" s="60"/>
      <c r="C94" s="60"/>
      <c r="D94" s="12" t="s">
        <v>7</v>
      </c>
      <c r="E94" s="35">
        <v>1</v>
      </c>
      <c r="F94" s="3" t="s">
        <v>135</v>
      </c>
      <c r="G94" s="35">
        <v>1</v>
      </c>
      <c r="H94" s="17" t="s">
        <v>60</v>
      </c>
      <c r="I94" s="42">
        <v>1</v>
      </c>
    </row>
    <row r="95" spans="1:10" x14ac:dyDescent="0.35">
      <c r="A95" s="69"/>
      <c r="B95" s="60"/>
      <c r="C95" s="60"/>
      <c r="D95" s="12" t="s">
        <v>9</v>
      </c>
      <c r="E95" s="35">
        <v>5</v>
      </c>
      <c r="F95" s="11" t="s">
        <v>12</v>
      </c>
      <c r="G95" s="36">
        <v>7</v>
      </c>
      <c r="I95" s="42"/>
    </row>
    <row r="96" spans="1:10" x14ac:dyDescent="0.35">
      <c r="A96" s="69"/>
      <c r="B96" s="60"/>
      <c r="C96" s="60"/>
      <c r="D96" s="12" t="s">
        <v>10</v>
      </c>
      <c r="E96" s="35">
        <v>1</v>
      </c>
      <c r="F96" s="11" t="s">
        <v>26</v>
      </c>
      <c r="G96" s="55">
        <v>1</v>
      </c>
      <c r="H96" s="28"/>
      <c r="I96" s="42"/>
      <c r="J96" s="3"/>
    </row>
    <row r="97" spans="1:9" x14ac:dyDescent="0.35">
      <c r="A97" s="69"/>
      <c r="B97" s="60"/>
      <c r="C97" s="60"/>
      <c r="D97" s="12" t="s">
        <v>11</v>
      </c>
      <c r="E97" s="35">
        <v>7</v>
      </c>
      <c r="G97" s="35"/>
      <c r="I97" s="42"/>
    </row>
    <row r="98" spans="1:9" x14ac:dyDescent="0.35">
      <c r="A98" s="69"/>
      <c r="B98" s="60"/>
      <c r="C98" s="60"/>
      <c r="D98" s="12" t="s">
        <v>20</v>
      </c>
      <c r="E98" s="35">
        <v>1</v>
      </c>
      <c r="F98" s="3"/>
      <c r="G98" s="35"/>
      <c r="I98" s="42"/>
    </row>
    <row r="99" spans="1:9" x14ac:dyDescent="0.35">
      <c r="A99" s="70"/>
      <c r="B99" s="61"/>
      <c r="C99" s="61"/>
      <c r="D99" s="13" t="s">
        <v>12</v>
      </c>
      <c r="E99" s="38">
        <f>SUM(E91:E98)</f>
        <v>34</v>
      </c>
      <c r="F99" s="2"/>
      <c r="G99" s="37"/>
      <c r="H99" s="19"/>
      <c r="I99" s="44"/>
    </row>
    <row r="100" spans="1:9" x14ac:dyDescent="0.35">
      <c r="A100" s="68">
        <v>11</v>
      </c>
      <c r="B100" s="59">
        <v>43</v>
      </c>
      <c r="C100" s="59">
        <v>0</v>
      </c>
      <c r="D100" s="12" t="s">
        <v>9</v>
      </c>
      <c r="E100" s="35">
        <v>10</v>
      </c>
      <c r="F100" s="54" t="s">
        <v>12</v>
      </c>
      <c r="G100" s="36">
        <v>0</v>
      </c>
      <c r="H100" s="17" t="s">
        <v>25</v>
      </c>
      <c r="I100" s="42">
        <v>43</v>
      </c>
    </row>
    <row r="101" spans="1:9" x14ac:dyDescent="0.35">
      <c r="A101" s="69"/>
      <c r="B101" s="60"/>
      <c r="C101" s="60"/>
      <c r="D101" s="12" t="s">
        <v>10</v>
      </c>
      <c r="E101" s="35">
        <v>3</v>
      </c>
      <c r="F101" s="11" t="s">
        <v>26</v>
      </c>
      <c r="G101" s="36">
        <v>0</v>
      </c>
      <c r="I101" s="42"/>
    </row>
    <row r="102" spans="1:9" x14ac:dyDescent="0.35">
      <c r="A102" s="69"/>
      <c r="B102" s="60"/>
      <c r="C102" s="60"/>
      <c r="D102" s="12" t="s">
        <v>11</v>
      </c>
      <c r="E102" s="35">
        <v>28</v>
      </c>
      <c r="F102" s="3"/>
      <c r="G102" s="35"/>
      <c r="I102" s="42"/>
    </row>
    <row r="103" spans="1:9" x14ac:dyDescent="0.35">
      <c r="A103" s="69"/>
      <c r="B103" s="60"/>
      <c r="C103" s="60"/>
      <c r="D103" s="12" t="s">
        <v>20</v>
      </c>
      <c r="E103" s="35">
        <v>2</v>
      </c>
      <c r="F103" s="11"/>
      <c r="G103" s="36"/>
      <c r="I103" s="42"/>
    </row>
    <row r="104" spans="1:9" x14ac:dyDescent="0.35">
      <c r="A104" s="69"/>
      <c r="B104" s="60"/>
      <c r="C104" s="60"/>
      <c r="D104" s="16" t="s">
        <v>12</v>
      </c>
      <c r="E104" s="36">
        <f>SUM(E100:E103)</f>
        <v>43</v>
      </c>
      <c r="F104" s="11"/>
      <c r="G104" s="36"/>
      <c r="I104" s="42"/>
    </row>
    <row r="105" spans="1:9" x14ac:dyDescent="0.35">
      <c r="A105" s="71">
        <v>12</v>
      </c>
      <c r="B105" s="71">
        <v>55</v>
      </c>
      <c r="C105" s="71">
        <v>0</v>
      </c>
      <c r="D105" s="58" t="s">
        <v>18</v>
      </c>
      <c r="E105" s="34">
        <v>1</v>
      </c>
      <c r="F105" s="26" t="s">
        <v>21</v>
      </c>
      <c r="G105" s="34" t="s">
        <v>136</v>
      </c>
      <c r="H105" s="56" t="s">
        <v>24</v>
      </c>
      <c r="I105" s="45">
        <v>27</v>
      </c>
    </row>
    <row r="106" spans="1:9" x14ac:dyDescent="0.35">
      <c r="A106" s="62"/>
      <c r="B106" s="62"/>
      <c r="C106" s="62"/>
      <c r="D106" s="31" t="s">
        <v>32</v>
      </c>
      <c r="E106" s="35">
        <v>9</v>
      </c>
      <c r="F106" s="54" t="s">
        <v>12</v>
      </c>
      <c r="G106" s="36">
        <v>0</v>
      </c>
      <c r="H106" s="28" t="s">
        <v>25</v>
      </c>
      <c r="I106" s="42">
        <v>18</v>
      </c>
    </row>
    <row r="107" spans="1:9" x14ac:dyDescent="0.35">
      <c r="A107" s="62"/>
      <c r="B107" s="62"/>
      <c r="C107" s="62"/>
      <c r="D107" s="31" t="s">
        <v>6</v>
      </c>
      <c r="E107" s="35">
        <v>7</v>
      </c>
      <c r="F107" s="11" t="s">
        <v>26</v>
      </c>
      <c r="G107" s="36">
        <v>0</v>
      </c>
      <c r="H107" s="28" t="s">
        <v>77</v>
      </c>
      <c r="I107" s="42">
        <v>10</v>
      </c>
    </row>
    <row r="108" spans="1:9" x14ac:dyDescent="0.35">
      <c r="A108" s="62"/>
      <c r="B108" s="62"/>
      <c r="C108" s="62"/>
      <c r="D108" s="31" t="s">
        <v>7</v>
      </c>
      <c r="E108" s="35">
        <v>8</v>
      </c>
      <c r="F108" s="3"/>
      <c r="G108" s="35"/>
      <c r="H108" s="28"/>
      <c r="I108" s="42"/>
    </row>
    <row r="109" spans="1:9" x14ac:dyDescent="0.35">
      <c r="A109" s="62"/>
      <c r="B109" s="62"/>
      <c r="C109" s="62"/>
      <c r="D109" s="31" t="s">
        <v>9</v>
      </c>
      <c r="E109" s="35">
        <v>5</v>
      </c>
      <c r="F109" s="11"/>
      <c r="G109" s="36"/>
      <c r="H109" s="28"/>
      <c r="I109" s="42"/>
    </row>
    <row r="110" spans="1:9" x14ac:dyDescent="0.35">
      <c r="A110" s="62"/>
      <c r="B110" s="62"/>
      <c r="C110" s="62"/>
      <c r="D110" s="31" t="s">
        <v>10</v>
      </c>
      <c r="E110" s="35">
        <v>10</v>
      </c>
      <c r="F110" s="11"/>
      <c r="G110" s="36"/>
      <c r="H110" s="28"/>
      <c r="I110" s="42"/>
    </row>
    <row r="111" spans="1:9" x14ac:dyDescent="0.35">
      <c r="A111" s="62"/>
      <c r="B111" s="62"/>
      <c r="C111" s="62"/>
      <c r="D111" s="31" t="s">
        <v>11</v>
      </c>
      <c r="E111" s="35">
        <v>13</v>
      </c>
      <c r="F111" s="3"/>
      <c r="G111" s="35"/>
      <c r="H111" s="28"/>
      <c r="I111" s="42"/>
    </row>
    <row r="112" spans="1:9" x14ac:dyDescent="0.35">
      <c r="A112" s="62"/>
      <c r="B112" s="62"/>
      <c r="C112" s="62"/>
      <c r="D112" s="31" t="s">
        <v>20</v>
      </c>
      <c r="E112" s="35">
        <v>1</v>
      </c>
      <c r="F112" s="3"/>
      <c r="G112" s="35"/>
      <c r="H112" s="28"/>
      <c r="I112" s="42"/>
    </row>
    <row r="113" spans="1:9" x14ac:dyDescent="0.35">
      <c r="A113" s="62"/>
      <c r="B113" s="62"/>
      <c r="C113" s="62"/>
      <c r="D113" s="31" t="s">
        <v>123</v>
      </c>
      <c r="E113" s="35">
        <v>1</v>
      </c>
      <c r="F113" s="3"/>
      <c r="G113" s="35"/>
      <c r="H113" s="28"/>
      <c r="I113" s="42"/>
    </row>
    <row r="114" spans="1:9" x14ac:dyDescent="0.35">
      <c r="A114" s="72"/>
      <c r="B114" s="72"/>
      <c r="C114" s="72"/>
      <c r="D114" s="13" t="s">
        <v>12</v>
      </c>
      <c r="E114" s="38">
        <f>SUM(E105:E113)</f>
        <v>55</v>
      </c>
      <c r="F114" s="2"/>
      <c r="G114" s="37"/>
      <c r="H114" s="20"/>
      <c r="I114" s="44"/>
    </row>
    <row r="115" spans="1:9" x14ac:dyDescent="0.35">
      <c r="A115" s="7" t="s">
        <v>12</v>
      </c>
      <c r="B115" s="7">
        <f>SUM(B2:B114)</f>
        <v>852</v>
      </c>
    </row>
  </sheetData>
  <mergeCells count="39">
    <mergeCell ref="A91:A99"/>
    <mergeCell ref="B91:B99"/>
    <mergeCell ref="C91:C99"/>
    <mergeCell ref="A100:A104"/>
    <mergeCell ref="B100:B104"/>
    <mergeCell ref="C100:C104"/>
    <mergeCell ref="A64:A74"/>
    <mergeCell ref="B64:B74"/>
    <mergeCell ref="C64:C74"/>
    <mergeCell ref="A83:A90"/>
    <mergeCell ref="B83:B90"/>
    <mergeCell ref="C83:C90"/>
    <mergeCell ref="A47:A53"/>
    <mergeCell ref="B47:B53"/>
    <mergeCell ref="C47:C53"/>
    <mergeCell ref="A54:A63"/>
    <mergeCell ref="B54:B63"/>
    <mergeCell ref="C54:C63"/>
    <mergeCell ref="B15:B28"/>
    <mergeCell ref="C15:C28"/>
    <mergeCell ref="A36:A46"/>
    <mergeCell ref="B36:B46"/>
    <mergeCell ref="C36:C46"/>
    <mergeCell ref="D1:E1"/>
    <mergeCell ref="F1:G1"/>
    <mergeCell ref="H1:I1"/>
    <mergeCell ref="A75:A82"/>
    <mergeCell ref="A105:A114"/>
    <mergeCell ref="B75:B82"/>
    <mergeCell ref="B105:B114"/>
    <mergeCell ref="C75:C82"/>
    <mergeCell ref="C105:C114"/>
    <mergeCell ref="A29:A35"/>
    <mergeCell ref="A2:A14"/>
    <mergeCell ref="B2:B14"/>
    <mergeCell ref="C2:C14"/>
    <mergeCell ref="B29:B35"/>
    <mergeCell ref="C29:C35"/>
    <mergeCell ref="A15:A28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158</vt:lpstr>
      <vt:lpstr>157</vt:lpstr>
      <vt:lpstr>156</vt:lpstr>
      <vt:lpstr>155</vt:lpstr>
      <vt:lpstr>154</vt:lpstr>
      <vt:lpstr>153</vt:lpstr>
    </vt:vector>
  </TitlesOfParts>
  <Company>Natural History Museum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Markitantova</dc:creator>
  <cp:lastModifiedBy>Alexandra Markitantova</cp:lastModifiedBy>
  <cp:lastPrinted>2025-02-12T16:55:05Z</cp:lastPrinted>
  <dcterms:created xsi:type="dcterms:W3CDTF">2025-01-10T14:07:16Z</dcterms:created>
  <dcterms:modified xsi:type="dcterms:W3CDTF">2025-03-20T14:05:09Z</dcterms:modified>
</cp:coreProperties>
</file>